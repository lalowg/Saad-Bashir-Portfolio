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nsq-audit\"/>
    </mc:Choice>
  </mc:AlternateContent>
  <bookViews>
    <workbookView xWindow="0" yWindow="0" windowWidth="14380" windowHeight="6350"/>
  </bookViews>
  <sheets>
    <sheet name="Dashboard" sheetId="1" r:id="rId1"/>
    <sheet name="Applications" sheetId="2" r:id="rId2"/>
    <sheet name="Companies" sheetId="3" r:id="rId3"/>
    <sheet name="Lists" sheetId="4" r:id="rId4"/>
    <sheet name="Formula Guide" sheetId="5" r:id="rId5"/>
  </sheets>
  <definedNames>
    <definedName name="CompanyList">tblCompanies[Company]</definedName>
    <definedName name="PlatformList">tblPlatform[Platform]</definedName>
    <definedName name="_xlnm.Print_Area" localSheetId="1">Applications!$A$1:$X$15</definedName>
    <definedName name="_xlnm.Print_Area" localSheetId="2">Companies!$A$1:$H$11</definedName>
    <definedName name="_xlnm.Print_Area" localSheetId="0">Dashboard!$A$1:$P$46</definedName>
    <definedName name="_xlnm.Print_Area" localSheetId="4">'Formula Guide'!$A$1:$E$34</definedName>
    <definedName name="_xlnm.Print_Area" localSheetId="3">Lists!$A$1:$J$8</definedName>
    <definedName name="_xlnm.Print_Titles" localSheetId="1">Applications!$3:$3</definedName>
    <definedName name="_xlnm.Print_Titles" localSheetId="4">'Formula Guide'!$5:$5</definedName>
    <definedName name="PriorityList">tblPriority[Priority]</definedName>
    <definedName name="ResumeList">tblResumeVersion[Resume Version]</definedName>
    <definedName name="StatusList">tblStatus[Status]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C38" i="1" s="1"/>
  <c r="C33" i="1"/>
  <c r="B33" i="1"/>
  <c r="D33" i="1" s="1"/>
  <c r="E33" i="1" s="1"/>
  <c r="D32" i="1"/>
  <c r="B32" i="1"/>
  <c r="C32" i="1" s="1"/>
  <c r="E32" i="1" s="1"/>
  <c r="C31" i="1"/>
  <c r="B31" i="1"/>
  <c r="D31" i="1" s="1"/>
  <c r="E31" i="1" s="1"/>
  <c r="D30" i="1"/>
  <c r="B30" i="1"/>
  <c r="C30" i="1" s="1"/>
  <c r="E30" i="1" s="1"/>
  <c r="C29" i="1"/>
  <c r="B29" i="1"/>
  <c r="D29" i="1" s="1"/>
  <c r="E29" i="1" s="1"/>
  <c r="D28" i="1"/>
  <c r="B28" i="1"/>
  <c r="C28" i="1" s="1"/>
  <c r="E23" i="1"/>
  <c r="D23" i="1"/>
  <c r="C23" i="1"/>
  <c r="B23" i="1"/>
  <c r="B22" i="1"/>
  <c r="E22" i="1" s="1"/>
  <c r="E21" i="1"/>
  <c r="D21" i="1"/>
  <c r="C21" i="1"/>
  <c r="B21" i="1"/>
  <c r="B20" i="1"/>
  <c r="E20" i="1" s="1"/>
  <c r="E19" i="1"/>
  <c r="D19" i="1"/>
  <c r="C19" i="1"/>
  <c r="B19" i="1"/>
  <c r="B18" i="1"/>
  <c r="E18" i="1" s="1"/>
  <c r="E17" i="1"/>
  <c r="D17" i="1"/>
  <c r="C17" i="1"/>
  <c r="B17" i="1"/>
  <c r="F13" i="1"/>
  <c r="F11" i="1"/>
  <c r="F10" i="1"/>
  <c r="F9" i="1"/>
  <c r="C14" i="1"/>
  <c r="C11" i="1"/>
  <c r="C10" i="1"/>
  <c r="C9" i="1"/>
  <c r="C6" i="1"/>
  <c r="B2" i="1"/>
  <c r="X4" i="2"/>
  <c r="X5" i="2"/>
  <c r="X6" i="2"/>
  <c r="X7" i="2"/>
  <c r="X8" i="2"/>
  <c r="X9" i="2"/>
  <c r="X10" i="2"/>
  <c r="X11" i="2"/>
  <c r="X12" i="2"/>
  <c r="X13" i="2"/>
  <c r="X14" i="2"/>
  <c r="X15" i="2"/>
  <c r="W4" i="2"/>
  <c r="W5" i="2"/>
  <c r="W6" i="2"/>
  <c r="W7" i="2"/>
  <c r="W8" i="2"/>
  <c r="W9" i="2"/>
  <c r="W10" i="2"/>
  <c r="W11" i="2"/>
  <c r="W12" i="2"/>
  <c r="W13" i="2"/>
  <c r="W14" i="2"/>
  <c r="W15" i="2"/>
  <c r="V4" i="2"/>
  <c r="V5" i="2"/>
  <c r="V6" i="2"/>
  <c r="V7" i="2"/>
  <c r="V8" i="2"/>
  <c r="V9" i="2"/>
  <c r="V10" i="2"/>
  <c r="V11" i="2"/>
  <c r="V12" i="2"/>
  <c r="V13" i="2"/>
  <c r="V14" i="2"/>
  <c r="V15" i="2"/>
  <c r="U4" i="2"/>
  <c r="U5" i="2"/>
  <c r="U6" i="2"/>
  <c r="U7" i="2"/>
  <c r="U8" i="2"/>
  <c r="U9" i="2"/>
  <c r="U10" i="2"/>
  <c r="U11" i="2"/>
  <c r="U12" i="2"/>
  <c r="U13" i="2"/>
  <c r="U14" i="2"/>
  <c r="U15" i="2"/>
  <c r="S4" i="2"/>
  <c r="C13" i="1" s="1"/>
  <c r="S5" i="2"/>
  <c r="S6" i="2"/>
  <c r="S7" i="2"/>
  <c r="S8" i="2"/>
  <c r="S9" i="2"/>
  <c r="S10" i="2"/>
  <c r="S11" i="2"/>
  <c r="S12" i="2"/>
  <c r="S13" i="2"/>
  <c r="S14" i="2"/>
  <c r="S15" i="2"/>
  <c r="Q4" i="2"/>
  <c r="F22" i="1" s="1"/>
  <c r="Q5" i="2"/>
  <c r="Q6" i="2"/>
  <c r="Q7" i="2"/>
  <c r="Q8" i="2"/>
  <c r="F23" i="1" s="1"/>
  <c r="Q9" i="2"/>
  <c r="Q10" i="2"/>
  <c r="Q11" i="2"/>
  <c r="F20" i="1" s="1"/>
  <c r="Q12" i="2"/>
  <c r="Q13" i="2"/>
  <c r="Q14" i="2"/>
  <c r="F21" i="1" s="1"/>
  <c r="Q15" i="2"/>
  <c r="P4" i="2"/>
  <c r="C7" i="1" s="1"/>
  <c r="P5" i="2"/>
  <c r="R5" i="2" s="1"/>
  <c r="P6" i="2"/>
  <c r="R6" i="2" s="1"/>
  <c r="P7" i="2"/>
  <c r="R7" i="2" s="1"/>
  <c r="P8" i="2"/>
  <c r="R8" i="2" s="1"/>
  <c r="P9" i="2"/>
  <c r="R9" i="2" s="1"/>
  <c r="P10" i="2"/>
  <c r="R10" i="2" s="1"/>
  <c r="P11" i="2"/>
  <c r="R11" i="2" s="1"/>
  <c r="P12" i="2"/>
  <c r="R12" i="2" s="1"/>
  <c r="P13" i="2"/>
  <c r="R13" i="2" s="1"/>
  <c r="P14" i="2"/>
  <c r="R14" i="2" s="1"/>
  <c r="P15" i="2"/>
  <c r="R15" i="2" s="1"/>
  <c r="A4" i="2"/>
  <c r="A5" i="2"/>
  <c r="A6" i="2"/>
  <c r="A7" i="2"/>
  <c r="A8" i="2"/>
  <c r="A9" i="2"/>
  <c r="A10" i="2"/>
  <c r="A11" i="2"/>
  <c r="A12" i="2"/>
  <c r="A13" i="2"/>
  <c r="A14" i="2"/>
  <c r="A15" i="2"/>
  <c r="T11" i="2"/>
  <c r="T6" i="2"/>
  <c r="T15" i="2"/>
  <c r="T7" i="2"/>
  <c r="T4" i="2"/>
  <c r="T12" i="2"/>
  <c r="T9" i="2"/>
  <c r="T13" i="2"/>
  <c r="T8" i="2"/>
  <c r="T14" i="2"/>
  <c r="T5" i="2"/>
  <c r="T10" i="2"/>
  <c r="E24" i="1" l="1"/>
  <c r="E28" i="1"/>
  <c r="C34" i="1"/>
  <c r="D34" i="1"/>
  <c r="E34" i="1" s="1"/>
  <c r="R4" i="2"/>
  <c r="F6" i="1" s="1"/>
  <c r="C8" i="1"/>
  <c r="F14" i="1" s="1"/>
  <c r="F12" i="1"/>
  <c r="C18" i="1"/>
  <c r="D18" i="1" s="1"/>
  <c r="D24" i="1" s="1"/>
  <c r="C20" i="1"/>
  <c r="D20" i="1" s="1"/>
  <c r="C22" i="1"/>
  <c r="D22" i="1" s="1"/>
  <c r="C12" i="1"/>
  <c r="B39" i="1"/>
  <c r="E38" i="1"/>
  <c r="D38" i="1"/>
  <c r="F19" i="1"/>
  <c r="F18" i="1"/>
  <c r="F17" i="1"/>
  <c r="F8" i="1" l="1"/>
  <c r="F7" i="1"/>
  <c r="C24" i="1"/>
  <c r="E39" i="1"/>
  <c r="B40" i="1"/>
  <c r="C39" i="1"/>
  <c r="D39" i="1"/>
  <c r="E40" i="1" l="1"/>
  <c r="B41" i="1"/>
  <c r="C40" i="1"/>
  <c r="D40" i="1"/>
  <c r="E41" i="1" l="1"/>
  <c r="B42" i="1"/>
  <c r="C41" i="1"/>
  <c r="D41" i="1"/>
  <c r="E42" i="1" l="1"/>
  <c r="B43" i="1"/>
  <c r="C42" i="1"/>
  <c r="D42" i="1"/>
  <c r="E43" i="1" l="1"/>
  <c r="B44" i="1"/>
  <c r="C43" i="1"/>
  <c r="D43" i="1"/>
  <c r="E44" i="1" l="1"/>
  <c r="B45" i="1"/>
  <c r="E45" i="1" s="1"/>
  <c r="C44" i="1"/>
  <c r="D44" i="1"/>
  <c r="E46" i="1" l="1"/>
  <c r="C45" i="1"/>
  <c r="C46" i="1" s="1"/>
  <c r="D45" i="1"/>
  <c r="D46" i="1" s="1"/>
</calcChain>
</file>

<file path=xl/sharedStrings.xml><?xml version="1.0" encoding="utf-8"?>
<sst xmlns="http://schemas.openxmlformats.org/spreadsheetml/2006/main" count="400" uniqueCount="268">
  <si>
    <t>Status</t>
  </si>
  <si>
    <t>Is Open</t>
  </si>
  <si>
    <t>Applied</t>
  </si>
  <si>
    <t>Yes</t>
  </si>
  <si>
    <t>Screening</t>
  </si>
  <si>
    <t>Interview</t>
  </si>
  <si>
    <t>No Response</t>
  </si>
  <si>
    <t>Offer</t>
  </si>
  <si>
    <t>No</t>
  </si>
  <si>
    <t>Rejected</t>
  </si>
  <si>
    <t>Withdrawn</t>
  </si>
  <si>
    <t>Platform</t>
  </si>
  <si>
    <t>LinkedIn</t>
  </si>
  <si>
    <t>Indeed</t>
  </si>
  <si>
    <t>Company Website</t>
  </si>
  <si>
    <t>Referral</t>
  </si>
  <si>
    <t>Recruiter</t>
  </si>
  <si>
    <t>Other</t>
  </si>
  <si>
    <t>Priority</t>
  </si>
  <si>
    <t>High</t>
  </si>
  <si>
    <t>Medium</t>
  </si>
  <si>
    <t>Low</t>
  </si>
  <si>
    <t>Resume Version</t>
  </si>
  <si>
    <t>Teaching and Course Design v1</t>
  </si>
  <si>
    <t>Program Coordination v2</t>
  </si>
  <si>
    <t>Small Business and Consulting v1</t>
  </si>
  <si>
    <t>General v1</t>
  </si>
  <si>
    <t>How to use this sheet</t>
  </si>
  <si>
    <t>These tables feed the dropdown lists on the Applications sheet. Add a new value on the first empty row under a heading and the dropdown picks it up automatically.</t>
  </si>
  <si>
    <t>Is Open = Yes means the application is still live and may need a follow-up. Is Open = No means the application is closed (Offer, Rejected, Withdrawn).</t>
  </si>
  <si>
    <t>Company</t>
  </si>
  <si>
    <t>Industry</t>
  </si>
  <si>
    <t>Company Size</t>
  </si>
  <si>
    <t>Website</t>
  </si>
  <si>
    <t>City</t>
  </si>
  <si>
    <t>Notes</t>
  </si>
  <si>
    <t>Northbridge Learning Institute</t>
  </si>
  <si>
    <t>Higher Education</t>
  </si>
  <si>
    <t>500 to 1,000</t>
  </si>
  <si>
    <t>northbridgelearning.example</t>
  </si>
  <si>
    <t>Toronto, ON</t>
  </si>
  <si>
    <t>Two active postings; HR contact replies within a week</t>
  </si>
  <si>
    <t>Maple Ridge Business College</t>
  </si>
  <si>
    <t>200 to 500</t>
  </si>
  <si>
    <t>mapleridgecollege.example</t>
  </si>
  <si>
    <t>Vancouver, BC</t>
  </si>
  <si>
    <t>Continuing education department hires each term</t>
  </si>
  <si>
    <t>Lakeshore Training Co.</t>
  </si>
  <si>
    <t>Corporate Training</t>
  </si>
  <si>
    <t>50 to 200</t>
  </si>
  <si>
    <t>lakeshoretraining.example</t>
  </si>
  <si>
    <t>Mississauga, ON</t>
  </si>
  <si>
    <t>Hybrid roles; panel interviews</t>
  </si>
  <si>
    <t>Prairie Skills Network</t>
  </si>
  <si>
    <t>Non-profit Education</t>
  </si>
  <si>
    <t>10 to 50</t>
  </si>
  <si>
    <t>prairieskills.example</t>
  </si>
  <si>
    <t>Calgary, AB</t>
  </si>
  <si>
    <t>Part-time facilitator pool</t>
  </si>
  <si>
    <t>Harbourview Consulting Group</t>
  </si>
  <si>
    <t>Management Consulting</t>
  </si>
  <si>
    <t>harbourviewcg.example</t>
  </si>
  <si>
    <t>Halifax, NS</t>
  </si>
  <si>
    <t>On-site only</t>
  </si>
  <si>
    <t>Summit Peak Learning Technologies</t>
  </si>
  <si>
    <t>EdTech</t>
  </si>
  <si>
    <t>summitpeaklearning.example</t>
  </si>
  <si>
    <t>Ottawa, ON</t>
  </si>
  <si>
    <t>Remote-friendly; fast process</t>
  </si>
  <si>
    <t>Cedar Valley Community College</t>
  </si>
  <si>
    <t>1,000+</t>
  </si>
  <si>
    <t>cedarvalleycc.example</t>
  </si>
  <si>
    <t>Edmonton, AB</t>
  </si>
  <si>
    <t>Sessional postings close mid-month</t>
  </si>
  <si>
    <t>Bluewater Marketing Partners</t>
  </si>
  <si>
    <t>Marketing Agency</t>
  </si>
  <si>
    <t>bluewatermp.example</t>
  </si>
  <si>
    <t>London, ON</t>
  </si>
  <si>
    <t>Small team; slow to respond</t>
  </si>
  <si>
    <t>Granite Hill Financial Education</t>
  </si>
  <si>
    <t>Financial Services</t>
  </si>
  <si>
    <t>granitehillfe.example</t>
  </si>
  <si>
    <t>Winnipeg, MB</t>
  </si>
  <si>
    <t>Recruiter-led process</t>
  </si>
  <si>
    <t>Aurora Online Academy</t>
  </si>
  <si>
    <t>auroraonline.example</t>
  </si>
  <si>
    <t>Remote (Canada)</t>
  </si>
  <si>
    <t>Fully remote facilitator roles</t>
  </si>
  <si>
    <t>Add each employer here once. The Applications sheet looks up Industry, Company Size and City from this table by company name (XLOOKUP with an INDEX/MATCH fallback, VLOOKUP, and INDEX/MATCH).</t>
  </si>
  <si>
    <t>The sample companies are fictional examples. Replace them with real employers.</t>
  </si>
  <si>
    <t>Job Application Tracker</t>
  </si>
  <si>
    <t>How to use: type in columns B to O (white or light blue rows). Grey columns (A and P to X) are formulas and fill in automatically. Use the dropdowns in Company, Platform, Resume Version, Status and Priority. To add an application, type on the first empty row under the table; the table, dropdowns and formulas extend automatically. Use the filter arrows in row 3 to sort by date or filter by Status. Rows 4 to 15 are fictional examples: delete them before real use.</t>
  </si>
  <si>
    <t>ID</t>
  </si>
  <si>
    <t>Date Applied</t>
  </si>
  <si>
    <t>Role Title</t>
  </si>
  <si>
    <t>Location</t>
  </si>
  <si>
    <t>Job URL</t>
  </si>
  <si>
    <t>Follow-Up Date</t>
  </si>
  <si>
    <t>Response Date</t>
  </si>
  <si>
    <t>Time Spent (hrs)</t>
  </si>
  <si>
    <t>Salary (CAD)</t>
  </si>
  <si>
    <t>Days Since Applied</t>
  </si>
  <si>
    <t>Follow-Up Flag</t>
  </si>
  <si>
    <t>Days to Response</t>
  </si>
  <si>
    <t>Week Starting</t>
  </si>
  <si>
    <t>Month</t>
  </si>
  <si>
    <t>Sessional Instructor, Business Communication</t>
  </si>
  <si>
    <t>https://www.linkedin.com/jobs/view/example-1001</t>
  </si>
  <si>
    <t>Rejected after screening; keep on file for the winter term</t>
  </si>
  <si>
    <t>Program Coordinator, Continuing Education</t>
  </si>
  <si>
    <t>https://www.linkedin.com/jobs/view/example-1002</t>
  </si>
  <si>
    <t>Second interview booked for 10 Oct</t>
  </si>
  <si>
    <t>Learning and Development Specialist</t>
  </si>
  <si>
    <t>https://ca.indeed.com/viewjob?jk=example-1003</t>
  </si>
  <si>
    <t>Phone screen done; waiting for panel date</t>
  </si>
  <si>
    <t>Workshop Facilitator (Part-time)</t>
  </si>
  <si>
    <t>https://prairieskills.example/careers/1004</t>
  </si>
  <si>
    <t>No reply yet</t>
  </si>
  <si>
    <t>Business Analyst, Education Sector</t>
  </si>
  <si>
    <t>https://harbourviewcg.example/jobs/1005</t>
  </si>
  <si>
    <t>Withdrew: role is full-time on-site only</t>
  </si>
  <si>
    <t>Instructional Designer</t>
  </si>
  <si>
    <t>https://www.linkedin.com/jobs/view/example-1006</t>
  </si>
  <si>
    <t>First interview 2 Oct; panel interview 9 Oct</t>
  </si>
  <si>
    <t>Sessional Lecturer, Marketing</t>
  </si>
  <si>
    <t>https://cedarvalleycc.example/postings/1007</t>
  </si>
  <si>
    <t>Posting closes 15 Oct</t>
  </si>
  <si>
    <t>Content and Social Media Coordinator</t>
  </si>
  <si>
    <t>https://ca.indeed.com/viewjob?jk=example-1008</t>
  </si>
  <si>
    <t>Follow-up email sent 2 Oct; no reply</t>
  </si>
  <si>
    <t>Course Developer, Financial Literacy</t>
  </si>
  <si>
    <t>https://www.linkedin.com/jobs/view/example-1009</t>
  </si>
  <si>
    <t>Recruiter call held 5 Oct</t>
  </si>
  <si>
    <t>Online Course Facilitator (Remote)</t>
  </si>
  <si>
    <t>https://www.linkedin.com/jobs/view/example-1010</t>
  </si>
  <si>
    <t>Tailored resume to emphasise online delivery</t>
  </si>
  <si>
    <t>Academic Program Assistant</t>
  </si>
  <si>
    <t>https://www.linkedin.com/jobs/view/example-1011</t>
  </si>
  <si>
    <t>Verbal offer 6 Oct; written offer expected this week</t>
  </si>
  <si>
    <t>https://mapleridgecollege.example/careers/1012</t>
  </si>
  <si>
    <t>Second application via internal referral (duplicate check flags this)</t>
  </si>
  <si>
    <t>Job Application Dashboard</t>
  </si>
  <si>
    <t>Every figure on this sheet is a formula that reads the Applications table. Nothing here is typed in by hand.</t>
  </si>
  <si>
    <t>Pipeline</t>
  </si>
  <si>
    <t>Follow-Ups and Activity</t>
  </si>
  <si>
    <t>Total applications</t>
  </si>
  <si>
    <t>Active (open) applications</t>
  </si>
  <si>
    <t>Closed applications</t>
  </si>
  <si>
    <t>At interview stage</t>
  </si>
  <si>
    <t>Offers</t>
  </si>
  <si>
    <t>Positive response rate (Screening, Interview or Offer)</t>
  </si>
  <si>
    <t>Average days to first response</t>
  </si>
  <si>
    <t>Applications with a response recorded</t>
  </si>
  <si>
    <t>Follow-ups overdue</t>
  </si>
  <si>
    <t>Follow-ups due today</t>
  </si>
  <si>
    <t>Open applications with no follow-up date</t>
  </si>
  <si>
    <t>Applied in the last 7 days</t>
  </si>
  <si>
    <t>Applied this month</t>
  </si>
  <si>
    <t>Total hours invested</t>
  </si>
  <si>
    <t>Hours on active applications</t>
  </si>
  <si>
    <t>Average salary at Interview or Offer stage (CAD)</t>
  </si>
  <si>
    <t>Rows with a missing or unrecognised status</t>
  </si>
  <si>
    <t>Applications</t>
  </si>
  <si>
    <t>% of Total</t>
  </si>
  <si>
    <t>Hours Spent</t>
  </si>
  <si>
    <t>Average Days Since Applied</t>
  </si>
  <si>
    <t>Total</t>
  </si>
  <si>
    <t>Interview or Offer</t>
  </si>
  <si>
    <t>Conversion Rate</t>
  </si>
  <si>
    <t>Week Starting (Mon)</t>
  </si>
  <si>
    <t>Responses Received</t>
  </si>
  <si>
    <t>Total (8 weeks)</t>
  </si>
  <si>
    <t>Formula Guide and Legend</t>
  </si>
  <si>
    <t>Legend: on the Applications sheet, columns B to O (white or light blue rows) are typed in and the grey columns A and P to X are formulas. Dropdown lists live on the Lists sheet. Employer details live on the Companies sheet. The Dashboard is 100% formulas. Sample rows are fictional and should be deleted before real use.</t>
  </si>
  <si>
    <t>Compatibility: XLOOKUP needs Excel 2021 or Microsoft 365. The Industry column wraps XLOOKUP in IFERROR with an INDEX/MATCH fallback, so the tracker also works in Excel 2013, 2016 and 2019, where the formula bar shows the function as _xlfn.XLOOKUP and the fallback does the work.</t>
  </si>
  <si>
    <t>#</t>
  </si>
  <si>
    <t>Sheet</t>
  </si>
  <si>
    <t>Column or cell</t>
  </si>
  <si>
    <t>Formula (as written)</t>
  </si>
  <si>
    <t>What it does</t>
  </si>
  <si>
    <t>ID (A)</t>
  </si>
  <si>
    <t>="APP-"&amp;TEXT(ROW()-3,"000")</t>
  </si>
  <si>
    <t>Builds an ID like APP-001 from the row number. TEXT pads the number with zeros. IDs follow row order, so they renumber if the table is sorted.</t>
  </si>
  <si>
    <t>Is Open (P)</t>
  </si>
  <si>
    <t>=IF([@Status]="","",IFERROR(INDEX(tblStatus[Is Open],MATCH([@Status],tblStatus[Status],0)),"Check status"))</t>
  </si>
  <si>
    <t>INDEX/MATCH looks up the Status on the Lists sheet and returns Yes or No; blank if Status is empty, and Check status (highlighted red) if the Status is not on the Lists sheet. Drives every open or closed count on the Dashboard.</t>
  </si>
  <si>
    <t>Days Since Applied (Q)</t>
  </si>
  <si>
    <t>=IF([@[Date Applied]]="","",TODAY()-[@[Date Applied]])</t>
  </si>
  <si>
    <t>Date formula: TODAY() minus Date Applied. Stays blank until a date is entered.</t>
  </si>
  <si>
    <t>Follow-Up Flag (R)</t>
  </si>
  <si>
    <t>=IF([@[Date Applied]]="","",IF([@Status]="","Add status",IF([@[Is Open]]="No","Closed",IF([@[Follow-Up Date]]="","No date set",IF([@[Follow-Up Date]]&lt;TODAY(),"Overdue",IF([@[Follow-Up Date]]=TODAY(),"Due today","Scheduled"))))))</t>
  </si>
  <si>
    <t>Nested IF: Add status if the Status is blank, Closed if the application is not open, No date set if the follow-up date is blank, Overdue if it is before today, Due today if it equals today, otherwise Scheduled. Conditional formatting colours Overdue and Add status red and Due today amber.</t>
  </si>
  <si>
    <t>Days to Response (S)</t>
  </si>
  <si>
    <t>=IF(OR([@[Date Applied]]="",[@[Response Date]]=""),"",[@[Response Date]]-[@[Date Applied]])</t>
  </si>
  <si>
    <t>Response Date minus Date Applied; blank until a response arrives. The Dashboard averages this column.</t>
  </si>
  <si>
    <t>Industry (T)</t>
  </si>
  <si>
    <t>=IF([@Company]="","",IFERROR(XLOOKUP(TRIM([@Company]),tblCompanies[Company],tblCompanies[Industry],"Not in Companies list"),IFERROR(INDEX(tblCompanies[Industry],MATCH(TRIM([@Company]),tblCompanies[Company],0)),"Not in Companies list")))</t>
  </si>
  <si>
    <t>XLOOKUP returns the Industry for the Company from the Companies table, with a not-found message. TRIM strips stray spaces from the company name first (data cleaning). IFERROR falls back to INDEX/MATCH on Excel versions without XLOOKUP.</t>
  </si>
  <si>
    <t>Company Size (U)</t>
  </si>
  <si>
    <t>=IF([@Company]="","",IFERROR(VLOOKUP(TRIM([@Company]),tblCompanies,3,FALSE),"Not in Companies list"))</t>
  </si>
  <si>
    <t>VLOOKUP finds the trimmed Company in the Companies table and returns column 3 (Company Size); FALSE forces an exact match.</t>
  </si>
  <si>
    <t>City (V)</t>
  </si>
  <si>
    <t>=IF([@Company]="","",IFERROR(INDEX(tblCompanies[City],MATCH(TRIM([@Company]),tblCompanies[Company],0)),"Not in Companies list"))</t>
  </si>
  <si>
    <t>INDEX/MATCH: MATCH finds the row of the trimmed Company, INDEX returns the City from that row.</t>
  </si>
  <si>
    <t>Week Starting (W)</t>
  </si>
  <si>
    <t>=IF([@[Date Applied]]="","",[@[Date Applied]]-WEEKDAY([@[Date Applied]],2)+1)</t>
  </si>
  <si>
    <t>Date formula: WEEKDAY(date,2) gives Monday=1, so date minus WEEKDAY plus 1 is the Monday of that week. Used for weekly reporting.</t>
  </si>
  <si>
    <t>Month (X)</t>
  </si>
  <si>
    <t>=IF([@[Date Applied]]="","",TEXT([@[Date Applied]],"mmm yyyy"))</t>
  </si>
  <si>
    <t>TEXT formats the date as a month label such as Oct 2026 for grouping and filtering.</t>
  </si>
  <si>
    <t>Conditional formatting, column Q</t>
  </si>
  <si>
    <t>=AND($I4="Applied",$Q4&gt;14)</t>
  </si>
  <si>
    <t>Highlights applications still at Applied for more than 14 days (stale, needs chasing).</t>
  </si>
  <si>
    <t>Conditional formatting, columns C:D</t>
  </si>
  <si>
    <t>=AND($C4&lt;&gt;"",COUNTIFS($C$4:$C$500,$C4,$D$4:$D$500,$D4)&gt;1)</t>
  </si>
  <si>
    <t>COUNTIFS counts rows with the same Company and Role Title; more than one means a duplicate application, highlighted lavender. Blank rows never trigger it.</t>
  </si>
  <si>
    <t>Data validation, columns C, F, H, I, J</t>
  </si>
  <si>
    <t>=CompanyList (C), =PlatformList (F), =ResumeList (H), =StatusList (I), =PriorityList (J)</t>
  </si>
  <si>
    <t>Dropdowns sourced from named ranges that point at the Lists and Companies tables, so new list entries appear automatically. Company allows new names; the others block values not in the list.</t>
  </si>
  <si>
    <t>Data validation, columns B, K, L, M, N</t>
  </si>
  <si>
    <t>Date &lt;= TODAY(); date &gt;= B4; date &gt;= B4; decimal &gt;= 0; whole number &gt;= 0</t>
  </si>
  <si>
    <t>Blocks future application dates, follow-up or response dates before the application date, and negative hours or salaries.</t>
  </si>
  <si>
    <t>Dashboard</t>
  </si>
  <si>
    <t>C6</t>
  </si>
  <si>
    <t>=COUNTA(tblApplications[Company])</t>
  </si>
  <si>
    <t>COUNTA counts non-blank Company cells: total applications.</t>
  </si>
  <si>
    <t>C7 and C8</t>
  </si>
  <si>
    <t>=COUNTIFS(tblApplications[Is Open],"Yes")</t>
  </si>
  <si>
    <t>COUNTIFS on the Is Open column gives active (Yes) and closed (No) counts.</t>
  </si>
  <si>
    <t>C9 to C11</t>
  </si>
  <si>
    <t>=COUNTIF(tblApplications[Status],"Interview")</t>
  </si>
  <si>
    <t>COUNTIF by a single status.</t>
  </si>
  <si>
    <t>C12</t>
  </si>
  <si>
    <t>=IFERROR(SUM(COUNTIF(tblApplications[Status],{"Screening","Interview","Offer"}))/C6,0)</t>
  </si>
  <si>
    <t>COUNTIF with an array constant counts three statuses at once; divided by total applications gives the positive response rate. IFERROR guards against zero applications.</t>
  </si>
  <si>
    <t>C13</t>
  </si>
  <si>
    <t>=IFERROR(AVERAGE(tblApplications[Days to Response]),0)</t>
  </si>
  <si>
    <t>AVERAGE skips the empty-text cells returned by the IF in column S, so only applications with a response are averaged; IFERROR shows 0 until the first response.</t>
  </si>
  <si>
    <t>C14</t>
  </si>
  <si>
    <t>=COUNT(tblApplications[Response Date])</t>
  </si>
  <si>
    <t>COUNT counts numeric cells, so it counts only rows where a Response Date has been entered.</t>
  </si>
  <si>
    <t>F6 to F8</t>
  </si>
  <si>
    <t>=COUNTIF(tblApplications[Follow-Up Flag],"Overdue")</t>
  </si>
  <si>
    <t>COUNTIF on the Follow-Up Flag column: overdue, due today, no date set.</t>
  </si>
  <si>
    <t>F9</t>
  </si>
  <si>
    <t>=COUNTIFS(tblApplications[Date Applied],"&gt;="&amp;TODAY()-6,tblApplications[Date Applied],"&lt;="&amp;TODAY())</t>
  </si>
  <si>
    <t>COUNTIFS with two date criteria built from TODAY(): rolling 7-day window.</t>
  </si>
  <si>
    <t>F10</t>
  </si>
  <si>
    <t>=COUNTIFS(tblApplications[Date Applied],"&gt;="&amp;EOMONTH(TODAY(),-1)+1,tblApplications[Date Applied],"&lt;="&amp;EOMONTH(TODAY(),0))</t>
  </si>
  <si>
    <t>EOMONTH gives the first and last day of the current month; COUNTIFS counts applications between them.</t>
  </si>
  <si>
    <t>F11 and F12</t>
  </si>
  <si>
    <t>=SUMIFS(tblApplications[Time Spent (hrs)],tblApplications[Is Open],"Yes")</t>
  </si>
  <si>
    <t>SUM totals all hours (F11); SUMIFS totals hours only for open applications (F12).</t>
  </si>
  <si>
    <t>F13</t>
  </si>
  <si>
    <t>=IFERROR(SUM(SUMIF(tblApplications[Status],{"Interview","Offer"},tblApplications[Salary (CAD)]))/SUM(COUNTIFS(tblApplications[Status],{"Interview","Offer"},tblApplications[Salary (CAD)],"&gt;0")),0)</t>
  </si>
  <si>
    <t>SUMIF with an array constant totals salaries at Interview and Offer stage, divided by a COUNTIFS of those rows that have a salary above zero, giving the average without being distorted by blank salaries.</t>
  </si>
  <si>
    <t>F14</t>
  </si>
  <si>
    <t>=C6-C7-C8</t>
  </si>
  <si>
    <t>Reconciliation check: total minus open minus closed. Anything above zero means a row has a blank or unrecognised Status and is highlighted red.</t>
  </si>
  <si>
    <t>Status table, C17:F23</t>
  </si>
  <si>
    <t>=IFERROR(AVERAGEIFS(tblApplications[Days Since Applied],tblApplications[Status],B17),0)</t>
  </si>
  <si>
    <t>COUNTIF, SUMIFS and AVERAGEIFS per status, referencing the status label in column B (linked to the Lists sheet) so the row can be copied.</t>
  </si>
  <si>
    <t>Platform table, D28</t>
  </si>
  <si>
    <t>=COUNTIFS(tblApplications[Platform],B28,tblApplications[Status],"Interview")+COUNTIFS(tblApplications[Platform],B28,tblApplications[Status],"Offer")</t>
  </si>
  <si>
    <t>Two-criteria COUNTIFS (platform and status) added together: which platform produces interviews or offers.</t>
  </si>
  <si>
    <t>Weekly table, B38:E45</t>
  </si>
  <si>
    <t>=COUNTIFS(tblApplications[Date Applied],"&gt;="&amp;B38,tblApplications[Date Applied],"&lt;"&amp;B38+7)</t>
  </si>
  <si>
    <t>B38 is this week's Monday from TODAY() and WEEKDAY; each row below subtracts 7. COUNTIFS and SUMIFS count applications, hours and responses per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</si>
</sst>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-mmm\-yyyy"/>
    <numFmt numFmtId="165" formatCode="&quot;$&quot;#,##0"/>
    <numFmt numFmtId="166" formatCode="0.0"/>
    <numFmt numFmtId="167" formatCode="0.0%"/>
  </numFmts>
  <fonts count="7" x14ac:knownFonts="1"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0" fontId="5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167" fontId="0" fillId="0" borderId="0" xfId="0" applyNumberFormat="1"/>
    <xf numFmtId="0" fontId="2" fillId="0" borderId="1" xfId="0" applyFont="1" applyBorder="1"/>
    <xf numFmtId="167" fontId="2" fillId="0" borderId="1" xfId="0" applyNumberFormat="1" applyFont="1" applyBorder="1"/>
    <xf numFmtId="166" fontId="2" fillId="0" borderId="1" xfId="0" applyNumberFormat="1" applyFont="1" applyBorder="1"/>
    <xf numFmtId="0" fontId="0" fillId="0" borderId="1" xfId="0" applyBorder="1"/>
    <xf numFmtId="164" fontId="0" fillId="0" borderId="0" xfId="0" applyNumberFormat="1" applyAlignment="1">
      <alignment horizontal="left"/>
    </xf>
    <xf numFmtId="0" fontId="6" fillId="0" borderId="2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1" fontId="2" fillId="2" borderId="0" xfId="0" applyNumberFormat="1" applyFont="1" applyFill="1" applyAlignment="1">
      <alignment horizontal="right"/>
    </xf>
    <xf numFmtId="167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0" fillId="0" borderId="3" xfId="0" applyBorder="1" applyAlignment="1">
      <alignment vertical="top"/>
    </xf>
    <xf numFmtId="49" fontId="0" fillId="0" borderId="3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 customBuiltin="1"/>
  </cellStyles>
  <dxfs count="27">
    <dxf>
      <fill>
        <patternFill patternType="solid">
          <fgColor indexed="64"/>
          <bgColor rgb="FFF2F2F2"/>
        </patternFill>
      </fill>
    </dxf>
    <dxf>
      <numFmt numFmtId="164" formatCode="dd\-mmm\-yyyy"/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numFmt numFmtId="1" formatCode="0"/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numFmt numFmtId="1" formatCode="0"/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numFmt numFmtId="165" formatCode="&quot;$&quot;#,##0"/>
    </dxf>
    <dxf>
      <numFmt numFmtId="166" formatCode="0.0"/>
    </dxf>
    <dxf>
      <numFmt numFmtId="164" formatCode="dd\-mmm\-yyyy"/>
    </dxf>
    <dxf>
      <numFmt numFmtId="164" formatCode="dd\-mmm\-yyyy"/>
    </dxf>
    <dxf>
      <numFmt numFmtId="164" formatCode="dd\-mmm\-yyyy"/>
    </dxf>
    <dxf>
      <fill>
        <patternFill patternType="solid">
          <fgColor indexed="64"/>
          <bgColor rgb="FFF2F2F2"/>
        </patternFill>
      </fill>
    </dxf>
    <dxf>
      <alignment horizontal="general" vertical="bottom" textRotation="0" wrapText="1" indent="0" justifyLastLine="0" shrinkToFit="0" readingOrder="0"/>
    </dxf>
    <dxf>
      <fill>
        <patternFill>
          <bgColor rgb="FFE1CCFF"/>
        </patternFill>
      </fill>
    </dxf>
    <dxf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8080"/>
      </font>
    </dxf>
    <dxf>
      <font>
        <color rgb="FF808080"/>
      </font>
    </dxf>
    <dxf>
      <font>
        <color rgb="FF1F4E79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by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Dashboard!$B$17:$B$23</c:f>
              <c:strCache>
                <c:ptCount val="7"/>
                <c:pt idx="0">
                  <c:v>Applied</c:v>
                </c:pt>
                <c:pt idx="1">
                  <c:v>Screening</c:v>
                </c:pt>
                <c:pt idx="2">
                  <c:v>Interview</c:v>
                </c:pt>
                <c:pt idx="3">
                  <c:v>No Response</c:v>
                </c:pt>
                <c:pt idx="4">
                  <c:v>Offer</c:v>
                </c:pt>
                <c:pt idx="5">
                  <c:v>Rejected</c:v>
                </c:pt>
                <c:pt idx="6">
                  <c:v>Withdrawn</c:v>
                </c:pt>
              </c:strCache>
            </c:strRef>
          </c:cat>
          <c:val>
            <c:numRef>
              <c:f>Dashboard!$C$17:$C$23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-2042220880"/>
        <c:axId val="-2042216528"/>
      </c:barChart>
      <c:catAx>
        <c:axId val="-204222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2216528"/>
        <c:crosses val="autoZero"/>
        <c:auto val="1"/>
        <c:lblAlgn val="ctr"/>
        <c:lblOffset val="100"/>
        <c:noMultiLvlLbl val="0"/>
      </c:catAx>
      <c:valAx>
        <c:axId val="-204221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22208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304800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blApplications" displayName="tblApplications" ref="A3:X15" totalsRowShown="0" headerRowDxfId="15">
  <autoFilter ref="A3:X15"/>
  <tableColumns count="24">
    <tableColumn id="1" name="ID" dataDxfId="14">
      <calculatedColumnFormula>"APP-"&amp;TEXT(ROW()-3,"000")</calculatedColumnFormula>
    </tableColumn>
    <tableColumn id="2" name="Date Applied" dataDxfId="13"/>
    <tableColumn id="3" name="Company"/>
    <tableColumn id="4" name="Role Title"/>
    <tableColumn id="5" name="Location"/>
    <tableColumn id="6" name="Platform"/>
    <tableColumn id="7" name="Job URL"/>
    <tableColumn id="8" name="Resume Version"/>
    <tableColumn id="9" name="Status"/>
    <tableColumn id="10" name="Priority"/>
    <tableColumn id="11" name="Follow-Up Date" dataDxfId="12"/>
    <tableColumn id="12" name="Response Date" dataDxfId="11"/>
    <tableColumn id="13" name="Time Spent (hrs)" dataDxfId="10"/>
    <tableColumn id="14" name="Salary (CAD)" dataDxfId="9"/>
    <tableColumn id="15" name="Notes"/>
    <tableColumn id="16" name="Is Open" dataDxfId="8">
      <calculatedColumnFormula>IF(tblApplications[[#This Row],[Status]]="","",IFERROR(INDEX(tblStatus[Is Open],MATCH(tblApplications[[#This Row],[Status]],tblStatus[Status],0)),"Check status"))</calculatedColumnFormula>
    </tableColumn>
    <tableColumn id="17" name="Days Since Applied" dataDxfId="7">
      <calculatedColumnFormula>IF(tblApplications[[#This Row],[Date Applied]]="","",TODAY()-tblApplications[[#This Row],[Date Applied]])</calculatedColumnFormula>
    </tableColumn>
    <tableColumn id="18" name="Follow-Up Flag" dataDxfId="6">
      <calculatedColumnFormula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calculatedColumnFormula>
    </tableColumn>
    <tableColumn id="19" name="Days to Response" dataDxfId="5">
      <calculatedColumnFormula>IF(OR(tblApplications[[#This Row],[Date Applied]]="",tblApplications[[#This Row],[Response Date]]=""),"",tblApplications[[#This Row],[Response Date]]-tblApplications[[#This Row],[Date Applied]])</calculatedColumnFormula>
    </tableColumn>
    <tableColumn id="20" name="Industry" dataDxfId="4">
      <calculatedColumnFormula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calculatedColumnFormula>
    </tableColumn>
    <tableColumn id="21" name="Company Size" dataDxfId="3">
      <calculatedColumnFormula>IF(tblApplications[[#This Row],[Company]]="","",IFERROR(VLOOKUP(TRIM(tblApplications[[#This Row],[Company]]),tblCompanies[],3,FALSE),"Not in Companies list"))</calculatedColumnFormula>
    </tableColumn>
    <tableColumn id="22" name="City" dataDxfId="2">
      <calculatedColumnFormula>IF(tblApplications[[#This Row],[Company]]="","",IFERROR(INDEX(tblCompanies[City],MATCH(TRIM(tblApplications[[#This Row],[Company]]),tblCompanies[Company],0)),"Not in Companies list"))</calculatedColumnFormula>
    </tableColumn>
    <tableColumn id="23" name="Week Starting" dataDxfId="1">
      <calculatedColumnFormula>IF(tblApplications[[#This Row],[Date Applied]]="","",tblApplications[[#This Row],[Date Applied]]-WEEKDAY(tblApplications[[#This Row],[Date Applied]],2)+1)</calculatedColumnFormula>
    </tableColumn>
    <tableColumn id="24" name="Month" dataDxfId="0">
      <calculatedColumnFormula>IF(tblApplications[[#This Row],[Date Applied]]="","",TEXT(tblApplications[[#This Row],[Date Applied]],"mmm yyyy"))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blCompanies" displayName="tblCompanies" ref="A1:F11" totalsRowShown="0">
  <autoFilter ref="A1:F11"/>
  <tableColumns count="6">
    <tableColumn id="1" name="Company"/>
    <tableColumn id="2" name="Industry"/>
    <tableColumn id="3" name="Company Size"/>
    <tableColumn id="4" name="Website"/>
    <tableColumn id="5" name="City"/>
    <tableColumn id="6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blStatus" displayName="tblStatus" ref="A1:B8" totalsRowShown="0">
  <autoFilter ref="A1:B8"/>
  <tableColumns count="2">
    <tableColumn id="1" name="Status"/>
    <tableColumn id="2" name="Is Ope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2" name="tblPlatform" displayName="tblPlatform" ref="D1:D7" totalsRowShown="0">
  <autoFilter ref="D1:D7"/>
  <tableColumns count="1">
    <tableColumn id="1" name="Platfor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3" name="tblPriority" displayName="tblPriority" ref="F1:F4" totalsRowShown="0">
  <autoFilter ref="F1:F4"/>
  <tableColumns count="1">
    <tableColumn id="1" name="Priorit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4" name="tblResumeVersion" displayName="tblResumeVersion" ref="H1:H5" totalsRowShown="0">
  <autoFilter ref="H1:H5"/>
  <tableColumns count="1">
    <tableColumn id="1" name="Resume Vers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showGridLines="0" tabSelected="1" workbookViewId="0"/>
  </sheetViews>
  <sheetFormatPr defaultRowHeight="12.5" x14ac:dyDescent="0.25"/>
  <cols>
    <col min="1" max="1" width="3.6328125" customWidth="1"/>
    <col min="2" max="2" width="46.6328125" customWidth="1"/>
    <col min="3" max="3" width="14.6328125" customWidth="1"/>
    <col min="4" max="4" width="18.6328125" customWidth="1"/>
    <col min="5" max="5" width="46.6328125" customWidth="1"/>
    <col min="6" max="6" width="24.6328125" customWidth="1"/>
    <col min="7" max="7" width="3.6328125" customWidth="1"/>
  </cols>
  <sheetData>
    <row r="1" spans="1:6" ht="20" x14ac:dyDescent="0.4">
      <c r="A1" s="15" t="s">
        <v>141</v>
      </c>
    </row>
    <row r="2" spans="1:6" ht="13" x14ac:dyDescent="0.3">
      <c r="B2" s="16" t="str">
        <f ca="1">"As of "&amp;TEXT(TODAY(),"dd-mmm-yyyy")</f>
        <v>As of 08-Oct-2026</v>
      </c>
    </row>
    <row r="3" spans="1:6" ht="13" x14ac:dyDescent="0.3">
      <c r="B3" s="17" t="s">
        <v>142</v>
      </c>
    </row>
    <row r="5" spans="1:6" ht="14" x14ac:dyDescent="0.3">
      <c r="B5" s="24" t="s">
        <v>143</v>
      </c>
      <c r="C5" s="25"/>
      <c r="D5" s="25"/>
      <c r="E5" s="24" t="s">
        <v>144</v>
      </c>
      <c r="F5" s="25"/>
    </row>
    <row r="6" spans="1:6" ht="13" x14ac:dyDescent="0.3">
      <c r="B6" t="s">
        <v>145</v>
      </c>
      <c r="C6" s="30">
        <f>COUNTA(tblApplications[Company])</f>
        <v>12</v>
      </c>
      <c r="E6" t="s">
        <v>153</v>
      </c>
      <c r="F6" s="30">
        <f ca="1">COUNTIF(tblApplications[Follow-Up Flag],"Overdue")</f>
        <v>3</v>
      </c>
    </row>
    <row r="7" spans="1:6" ht="13" x14ac:dyDescent="0.3">
      <c r="B7" t="s">
        <v>146</v>
      </c>
      <c r="C7" s="30">
        <f>COUNTIFS(tblApplications[Is Open],"Yes")</f>
        <v>9</v>
      </c>
      <c r="E7" t="s">
        <v>154</v>
      </c>
      <c r="F7" s="30">
        <f ca="1">COUNTIF(tblApplications[Follow-Up Flag],"Due today")</f>
        <v>1</v>
      </c>
    </row>
    <row r="8" spans="1:6" ht="13" x14ac:dyDescent="0.3">
      <c r="B8" t="s">
        <v>147</v>
      </c>
      <c r="C8" s="30">
        <f>COUNTIFS(tblApplications[Is Open],"No")</f>
        <v>3</v>
      </c>
      <c r="E8" t="s">
        <v>155</v>
      </c>
      <c r="F8" s="30">
        <f ca="1">COUNTIF(tblApplications[Follow-Up Flag],"No date set")</f>
        <v>0</v>
      </c>
    </row>
    <row r="9" spans="1:6" ht="13" x14ac:dyDescent="0.3">
      <c r="B9" t="s">
        <v>148</v>
      </c>
      <c r="C9" s="30">
        <f>COUNTIF(tblApplications[Status],"Interview")</f>
        <v>2</v>
      </c>
      <c r="E9" t="s">
        <v>156</v>
      </c>
      <c r="F9" s="30">
        <f ca="1">COUNTIFS(tblApplications[Date Applied],"&gt;="&amp;TODAY()-6,tblApplications[Date Applied],"&lt;="&amp;TODAY())</f>
        <v>2</v>
      </c>
    </row>
    <row r="10" spans="1:6" ht="13" x14ac:dyDescent="0.3">
      <c r="B10" t="s">
        <v>149</v>
      </c>
      <c r="C10" s="30">
        <f>COUNTIF(tblApplications[Status],"Offer")</f>
        <v>1</v>
      </c>
      <c r="E10" t="s">
        <v>157</v>
      </c>
      <c r="F10" s="30">
        <f ca="1">COUNTIFS(tblApplications[Date Applied],"&gt;="&amp;EOMONTH(TODAY(),-1)+1,tblApplications[Date Applied],"&lt;="&amp;EOMONTH(TODAY(),0))</f>
        <v>3</v>
      </c>
    </row>
    <row r="11" spans="1:6" ht="13" x14ac:dyDescent="0.3">
      <c r="B11" t="s">
        <v>9</v>
      </c>
      <c r="C11" s="30">
        <f>COUNTIF(tblApplications[Status],"Rejected")</f>
        <v>1</v>
      </c>
      <c r="E11" t="s">
        <v>158</v>
      </c>
      <c r="F11" s="32">
        <f>SUM(tblApplications[Time Spent (hrs)])</f>
        <v>26</v>
      </c>
    </row>
    <row r="12" spans="1:6" ht="13" x14ac:dyDescent="0.3">
      <c r="B12" t="s">
        <v>150</v>
      </c>
      <c r="C12" s="31">
        <f>IFERROR(SUM(COUNTIF(tblApplications[Status],{"Screening","Interview","Offer"}))/C6,0)</f>
        <v>0.41666666666666669</v>
      </c>
      <c r="E12" t="s">
        <v>159</v>
      </c>
      <c r="F12" s="32">
        <f>SUMIFS(tblApplications[Time Spent (hrs)],tblApplications[Is Open],"Yes")</f>
        <v>18.5</v>
      </c>
    </row>
    <row r="13" spans="1:6" ht="13" x14ac:dyDescent="0.3">
      <c r="B13" t="s">
        <v>151</v>
      </c>
      <c r="C13" s="32">
        <f>IFERROR(AVERAGE(tblApplications[Days to Response]),0)</f>
        <v>9</v>
      </c>
      <c r="E13" t="s">
        <v>160</v>
      </c>
      <c r="F13" s="33">
        <f>IFERROR(SUM(SUMIF(tblApplications[Status],{"Interview","Offer"},tblApplications[Salary (CAD)]))/SUM(COUNTIFS(tblApplications[Status],{"Interview","Offer"},tblApplications[Salary (CAD)],"&gt;0")),0)</f>
        <v>64666.666666666664</v>
      </c>
    </row>
    <row r="14" spans="1:6" ht="13" x14ac:dyDescent="0.3">
      <c r="B14" t="s">
        <v>152</v>
      </c>
      <c r="C14" s="30">
        <f>COUNT(tblApplications[Response Date])</f>
        <v>7</v>
      </c>
      <c r="E14" t="s">
        <v>161</v>
      </c>
      <c r="F14" s="30">
        <f>C6-C7-C8</f>
        <v>0</v>
      </c>
    </row>
    <row r="16" spans="1:6" ht="26" x14ac:dyDescent="0.3">
      <c r="B16" s="28" t="s">
        <v>0</v>
      </c>
      <c r="C16" s="29" t="s">
        <v>162</v>
      </c>
      <c r="D16" s="29" t="s">
        <v>163</v>
      </c>
      <c r="E16" s="29" t="s">
        <v>164</v>
      </c>
      <c r="F16" s="29" t="s">
        <v>165</v>
      </c>
    </row>
    <row r="17" spans="2:6" x14ac:dyDescent="0.25">
      <c r="B17" t="str">
        <f>Lists!A2</f>
        <v>Applied</v>
      </c>
      <c r="C17">
        <f>COUNTIF(tblApplications[Status],B17)</f>
        <v>4</v>
      </c>
      <c r="D17" s="18">
        <f t="shared" ref="D17:D23" si="0">IFERROR(C17/$C$6,0)</f>
        <v>0.33333333333333331</v>
      </c>
      <c r="E17" s="7">
        <f>SUMIFS(tblApplications[Time Spent (hrs)],tblApplications[Status],B17)</f>
        <v>6.5</v>
      </c>
      <c r="F17" s="7">
        <f ca="1">IFERROR(AVERAGEIFS(tblApplications[Days Since Applied],tblApplications[Status],B17),0)</f>
        <v>13.25</v>
      </c>
    </row>
    <row r="18" spans="2:6" x14ac:dyDescent="0.25">
      <c r="B18" t="str">
        <f>Lists!A3</f>
        <v>Screening</v>
      </c>
      <c r="C18">
        <f>COUNTIF(tblApplications[Status],B18)</f>
        <v>2</v>
      </c>
      <c r="D18" s="18">
        <f t="shared" si="0"/>
        <v>0.16666666666666666</v>
      </c>
      <c r="E18" s="7">
        <f>SUMIFS(tblApplications[Time Spent (hrs)],tblApplications[Status],B18)</f>
        <v>4.5</v>
      </c>
      <c r="F18" s="7">
        <f ca="1">IFERROR(AVERAGEIFS(tblApplications[Days Since Applied],tblApplications[Status],B18),0)</f>
        <v>19.5</v>
      </c>
    </row>
    <row r="19" spans="2:6" x14ac:dyDescent="0.25">
      <c r="B19" t="str">
        <f>Lists!A4</f>
        <v>Interview</v>
      </c>
      <c r="C19">
        <f>COUNTIF(tblApplications[Status],B19)</f>
        <v>2</v>
      </c>
      <c r="D19" s="18">
        <f t="shared" si="0"/>
        <v>0.16666666666666666</v>
      </c>
      <c r="E19" s="7">
        <f>SUMIFS(tblApplications[Time Spent (hrs)],tblApplications[Status],B19)</f>
        <v>6.5</v>
      </c>
      <c r="F19" s="7">
        <f ca="1">IFERROR(AVERAGEIFS(tblApplications[Days Since Applied],tblApplications[Status],B19),0)</f>
        <v>27.5</v>
      </c>
    </row>
    <row r="20" spans="2:6" x14ac:dyDescent="0.25">
      <c r="B20" t="str">
        <f>Lists!A5</f>
        <v>No Response</v>
      </c>
      <c r="C20">
        <f>COUNTIF(tblApplications[Status],B20)</f>
        <v>1</v>
      </c>
      <c r="D20" s="18">
        <f t="shared" si="0"/>
        <v>8.3333333333333329E-2</v>
      </c>
      <c r="E20" s="7">
        <f>SUMIFS(tblApplications[Time Spent (hrs)],tblApplications[Status],B20)</f>
        <v>1</v>
      </c>
      <c r="F20" s="7">
        <f ca="1">IFERROR(AVERAGEIFS(tblApplications[Days Since Applied],tblApplications[Status],B20),0)</f>
        <v>13</v>
      </c>
    </row>
    <row r="21" spans="2:6" x14ac:dyDescent="0.25">
      <c r="B21" t="str">
        <f>Lists!A6</f>
        <v>Offer</v>
      </c>
      <c r="C21">
        <f>COUNTIF(tblApplications[Status],B21)</f>
        <v>1</v>
      </c>
      <c r="D21" s="18">
        <f t="shared" si="0"/>
        <v>8.3333333333333329E-2</v>
      </c>
      <c r="E21" s="7">
        <f>SUMIFS(tblApplications[Time Spent (hrs)],tblApplications[Status],B21)</f>
        <v>3</v>
      </c>
      <c r="F21" s="7">
        <f ca="1">IFERROR(AVERAGEIFS(tblApplications[Days Since Applied],tblApplications[Status],B21),0)</f>
        <v>5</v>
      </c>
    </row>
    <row r="22" spans="2:6" x14ac:dyDescent="0.25">
      <c r="B22" t="str">
        <f>Lists!A7</f>
        <v>Rejected</v>
      </c>
      <c r="C22">
        <f>COUNTIF(tblApplications[Status],B22)</f>
        <v>1</v>
      </c>
      <c r="D22" s="18">
        <f t="shared" si="0"/>
        <v>8.3333333333333329E-2</v>
      </c>
      <c r="E22" s="7">
        <f>SUMIFS(tblApplications[Time Spent (hrs)],tblApplications[Status],B22)</f>
        <v>2.5</v>
      </c>
      <c r="F22" s="7">
        <f ca="1">IFERROR(AVERAGEIFS(tblApplications[Days Since Applied],tblApplications[Status],B22),0)</f>
        <v>37</v>
      </c>
    </row>
    <row r="23" spans="2:6" x14ac:dyDescent="0.25">
      <c r="B23" t="str">
        <f>Lists!A8</f>
        <v>Withdrawn</v>
      </c>
      <c r="C23">
        <f>COUNTIF(tblApplications[Status],B23)</f>
        <v>1</v>
      </c>
      <c r="D23" s="18">
        <f t="shared" si="0"/>
        <v>8.3333333333333329E-2</v>
      </c>
      <c r="E23" s="7">
        <f>SUMIFS(tblApplications[Time Spent (hrs)],tblApplications[Status],B23)</f>
        <v>2</v>
      </c>
      <c r="F23" s="7">
        <f ca="1">IFERROR(AVERAGEIFS(tblApplications[Days Since Applied],tblApplications[Status],B23),0)</f>
        <v>23</v>
      </c>
    </row>
    <row r="24" spans="2:6" ht="13" x14ac:dyDescent="0.3">
      <c r="B24" s="19" t="s">
        <v>166</v>
      </c>
      <c r="C24" s="19">
        <f>SUM(C17:C23)</f>
        <v>12</v>
      </c>
      <c r="D24" s="20">
        <f>SUM(D17:D23)</f>
        <v>1</v>
      </c>
      <c r="E24" s="21">
        <f>SUM(E17:E23)</f>
        <v>26</v>
      </c>
      <c r="F24" s="22"/>
    </row>
    <row r="27" spans="2:6" ht="13" x14ac:dyDescent="0.3">
      <c r="B27" s="26" t="s">
        <v>11</v>
      </c>
      <c r="C27" s="27" t="s">
        <v>162</v>
      </c>
      <c r="D27" s="27" t="s">
        <v>167</v>
      </c>
      <c r="E27" s="27" t="s">
        <v>168</v>
      </c>
    </row>
    <row r="28" spans="2:6" x14ac:dyDescent="0.25">
      <c r="B28" t="str">
        <f>Lists!D2</f>
        <v>LinkedIn</v>
      </c>
      <c r="C28">
        <f>COUNTIF(tblApplications[Platform],B28)</f>
        <v>6</v>
      </c>
      <c r="D28">
        <f>COUNTIFS(tblApplications[Platform],B28,tblApplications[Status],"Interview")+COUNTIFS(tblApplications[Platform],B28,tblApplications[Status],"Offer")</f>
        <v>3</v>
      </c>
      <c r="E28" s="18">
        <f t="shared" ref="E28:E34" si="1">IFERROR(D28/C28,0)</f>
        <v>0.5</v>
      </c>
    </row>
    <row r="29" spans="2:6" x14ac:dyDescent="0.25">
      <c r="B29" t="str">
        <f>Lists!D3</f>
        <v>Indeed</v>
      </c>
      <c r="C29">
        <f>COUNTIF(tblApplications[Platform],B29)</f>
        <v>2</v>
      </c>
      <c r="D29">
        <f>COUNTIFS(tblApplications[Platform],B29,tblApplications[Status],"Interview")+COUNTIFS(tblApplications[Platform],B29,tblApplications[Status],"Offer")</f>
        <v>0</v>
      </c>
      <c r="E29" s="18">
        <f t="shared" si="1"/>
        <v>0</v>
      </c>
    </row>
    <row r="30" spans="2:6" x14ac:dyDescent="0.25">
      <c r="B30" t="str">
        <f>Lists!D4</f>
        <v>Company Website</v>
      </c>
      <c r="C30">
        <f>COUNTIF(tblApplications[Platform],B30)</f>
        <v>2</v>
      </c>
      <c r="D30">
        <f>COUNTIFS(tblApplications[Platform],B30,tblApplications[Status],"Interview")+COUNTIFS(tblApplications[Platform],B30,tblApplications[Status],"Offer")</f>
        <v>0</v>
      </c>
      <c r="E30" s="18">
        <f t="shared" si="1"/>
        <v>0</v>
      </c>
    </row>
    <row r="31" spans="2:6" x14ac:dyDescent="0.25">
      <c r="B31" t="str">
        <f>Lists!D5</f>
        <v>Referral</v>
      </c>
      <c r="C31">
        <f>COUNTIF(tblApplications[Platform],B31)</f>
        <v>2</v>
      </c>
      <c r="D31">
        <f>COUNTIFS(tblApplications[Platform],B31,tblApplications[Status],"Interview")+COUNTIFS(tblApplications[Platform],B31,tblApplications[Status],"Offer")</f>
        <v>0</v>
      </c>
      <c r="E31" s="18">
        <f t="shared" si="1"/>
        <v>0</v>
      </c>
    </row>
    <row r="32" spans="2:6" x14ac:dyDescent="0.25">
      <c r="B32" t="str">
        <f>Lists!D6</f>
        <v>Recruiter</v>
      </c>
      <c r="C32">
        <f>COUNTIF(tblApplications[Platform],B32)</f>
        <v>0</v>
      </c>
      <c r="D32">
        <f>COUNTIFS(tblApplications[Platform],B32,tblApplications[Status],"Interview")+COUNTIFS(tblApplications[Platform],B32,tblApplications[Status],"Offer")</f>
        <v>0</v>
      </c>
      <c r="E32" s="18">
        <f t="shared" si="1"/>
        <v>0</v>
      </c>
    </row>
    <row r="33" spans="2:5" x14ac:dyDescent="0.25">
      <c r="B33" t="str">
        <f>Lists!D7</f>
        <v>Other</v>
      </c>
      <c r="C33">
        <f>COUNTIF(tblApplications[Platform],B33)</f>
        <v>0</v>
      </c>
      <c r="D33">
        <f>COUNTIFS(tblApplications[Platform],B33,tblApplications[Status],"Interview")+COUNTIFS(tblApplications[Platform],B33,tblApplications[Status],"Offer")</f>
        <v>0</v>
      </c>
      <c r="E33" s="18">
        <f t="shared" si="1"/>
        <v>0</v>
      </c>
    </row>
    <row r="34" spans="2:5" ht="13" x14ac:dyDescent="0.3">
      <c r="B34" s="19" t="s">
        <v>166</v>
      </c>
      <c r="C34" s="19">
        <f>SUM(C28:C33)</f>
        <v>12</v>
      </c>
      <c r="D34" s="19">
        <f>SUM(D28:D33)</f>
        <v>3</v>
      </c>
      <c r="E34" s="20">
        <f t="shared" si="1"/>
        <v>0.25</v>
      </c>
    </row>
    <row r="37" spans="2:5" ht="13" x14ac:dyDescent="0.3">
      <c r="B37" s="26" t="s">
        <v>169</v>
      </c>
      <c r="C37" s="27" t="s">
        <v>162</v>
      </c>
      <c r="D37" s="27" t="s">
        <v>164</v>
      </c>
      <c r="E37" s="27" t="s">
        <v>170</v>
      </c>
    </row>
    <row r="38" spans="2:5" x14ac:dyDescent="0.25">
      <c r="B38" s="23">
        <f ca="1">TODAY()-WEEKDAY(TODAY(),2)+1</f>
        <v>46300</v>
      </c>
      <c r="C38">
        <f ca="1">COUNTIFS(tblApplications[Date Applied],"&gt;="&amp;B38,tblApplications[Date Applied],"&lt;"&amp;B38+7)</f>
        <v>1</v>
      </c>
      <c r="D38" s="7">
        <f ca="1">SUMIFS(tblApplications[Time Spent (hrs)],tblApplications[Date Applied],"&gt;="&amp;B38,tblApplications[Date Applied],"&lt;"&amp;B38+7)</f>
        <v>1</v>
      </c>
      <c r="E38">
        <f ca="1">COUNTIFS(tblApplications[Response Date],"&gt;="&amp;B38,tblApplications[Response Date],"&lt;"&amp;B38+7)</f>
        <v>2</v>
      </c>
    </row>
    <row r="39" spans="2:5" x14ac:dyDescent="0.25">
      <c r="B39" s="23">
        <f t="shared" ref="B39:B45" ca="1" si="2">B38-7</f>
        <v>46293</v>
      </c>
      <c r="C39">
        <f ca="1">COUNTIFS(tblApplications[Date Applied],"&gt;="&amp;B39,tblApplications[Date Applied],"&lt;"&amp;B39+7)</f>
        <v>3</v>
      </c>
      <c r="D39" s="7">
        <f ca="1">SUMIFS(tblApplications[Time Spent (hrs)],tblApplications[Date Applied],"&gt;="&amp;B39,tblApplications[Date Applied],"&lt;"&amp;B39+7)</f>
        <v>7.5</v>
      </c>
      <c r="E39">
        <f ca="1">COUNTIFS(tblApplications[Response Date],"&gt;="&amp;B39,tblApplications[Response Date],"&lt;"&amp;B39+7)</f>
        <v>1</v>
      </c>
    </row>
    <row r="40" spans="2:5" x14ac:dyDescent="0.25">
      <c r="B40" s="23">
        <f t="shared" ca="1" si="2"/>
        <v>46286</v>
      </c>
      <c r="C40">
        <f ca="1">COUNTIFS(tblApplications[Date Applied],"&gt;="&amp;B40,tblApplications[Date Applied],"&lt;"&amp;B40+7)</f>
        <v>2</v>
      </c>
      <c r="D40" s="7">
        <f ca="1">SUMIFS(tblApplications[Time Spent (hrs)],tblApplications[Date Applied],"&gt;="&amp;B40,tblApplications[Date Applied],"&lt;"&amp;B40+7)</f>
        <v>3</v>
      </c>
      <c r="E40">
        <f ca="1">COUNTIFS(tblApplications[Response Date],"&gt;="&amp;B40,tblApplications[Response Date],"&lt;"&amp;B40+7)</f>
        <v>1</v>
      </c>
    </row>
    <row r="41" spans="2:5" x14ac:dyDescent="0.25">
      <c r="B41" s="23">
        <f t="shared" ca="1" si="2"/>
        <v>46279</v>
      </c>
      <c r="C41">
        <f ca="1">COUNTIFS(tblApplications[Date Applied],"&gt;="&amp;B41,tblApplications[Date Applied],"&lt;"&amp;B41+7)</f>
        <v>2</v>
      </c>
      <c r="D41" s="7">
        <f ca="1">SUMIFS(tblApplications[Time Spent (hrs)],tblApplications[Date Applied],"&gt;="&amp;B41,tblApplications[Date Applied],"&lt;"&amp;B41+7)</f>
        <v>5.5</v>
      </c>
      <c r="E41">
        <f ca="1">COUNTIFS(tblApplications[Response Date],"&gt;="&amp;B41,tblApplications[Response Date],"&lt;"&amp;B41+7)</f>
        <v>2</v>
      </c>
    </row>
    <row r="42" spans="2:5" x14ac:dyDescent="0.25">
      <c r="B42" s="23">
        <f t="shared" ca="1" si="2"/>
        <v>46272</v>
      </c>
      <c r="C42">
        <f ca="1">COUNTIFS(tblApplications[Date Applied],"&gt;="&amp;B42,tblApplications[Date Applied],"&lt;"&amp;B42+7)</f>
        <v>2</v>
      </c>
      <c r="D42" s="7">
        <f ca="1">SUMIFS(tblApplications[Time Spent (hrs)],tblApplications[Date Applied],"&gt;="&amp;B42,tblApplications[Date Applied],"&lt;"&amp;B42+7)</f>
        <v>3.5</v>
      </c>
      <c r="E42">
        <f ca="1">COUNTIFS(tblApplications[Response Date],"&gt;="&amp;B42,tblApplications[Response Date],"&lt;"&amp;B42+7)</f>
        <v>1</v>
      </c>
    </row>
    <row r="43" spans="2:5" x14ac:dyDescent="0.25">
      <c r="B43" s="23">
        <f t="shared" ca="1" si="2"/>
        <v>46265</v>
      </c>
      <c r="C43">
        <f ca="1">COUNTIFS(tblApplications[Date Applied],"&gt;="&amp;B43,tblApplications[Date Applied],"&lt;"&amp;B43+7)</f>
        <v>2</v>
      </c>
      <c r="D43" s="7">
        <f ca="1">SUMIFS(tblApplications[Time Spent (hrs)],tblApplications[Date Applied],"&gt;="&amp;B43,tblApplications[Date Applied],"&lt;"&amp;B43+7)</f>
        <v>5.5</v>
      </c>
      <c r="E43">
        <f ca="1">COUNTIFS(tblApplications[Response Date],"&gt;="&amp;B43,tblApplications[Response Date],"&lt;"&amp;B43+7)</f>
        <v>0</v>
      </c>
    </row>
    <row r="44" spans="2:5" x14ac:dyDescent="0.25">
      <c r="B44" s="23">
        <f t="shared" ca="1" si="2"/>
        <v>46258</v>
      </c>
      <c r="C44">
        <f ca="1">COUNTIFS(tblApplications[Date Applied],"&gt;="&amp;B44,tblApplications[Date Applied],"&lt;"&amp;B44+7)</f>
        <v>0</v>
      </c>
      <c r="D44" s="7">
        <f ca="1">SUMIFS(tblApplications[Time Spent (hrs)],tblApplications[Date Applied],"&gt;="&amp;B44,tblApplications[Date Applied],"&lt;"&amp;B44+7)</f>
        <v>0</v>
      </c>
      <c r="E44">
        <f ca="1">COUNTIFS(tblApplications[Response Date],"&gt;="&amp;B44,tblApplications[Response Date],"&lt;"&amp;B44+7)</f>
        <v>0</v>
      </c>
    </row>
    <row r="45" spans="2:5" x14ac:dyDescent="0.25">
      <c r="B45" s="23">
        <f t="shared" ca="1" si="2"/>
        <v>46251</v>
      </c>
      <c r="C45">
        <f ca="1">COUNTIFS(tblApplications[Date Applied],"&gt;="&amp;B45,tblApplications[Date Applied],"&lt;"&amp;B45+7)</f>
        <v>0</v>
      </c>
      <c r="D45" s="7">
        <f ca="1">SUMIFS(tblApplications[Time Spent (hrs)],tblApplications[Date Applied],"&gt;="&amp;B45,tblApplications[Date Applied],"&lt;"&amp;B45+7)</f>
        <v>0</v>
      </c>
      <c r="E45">
        <f ca="1">COUNTIFS(tblApplications[Response Date],"&gt;="&amp;B45,tblApplications[Response Date],"&lt;"&amp;B45+7)</f>
        <v>0</v>
      </c>
    </row>
    <row r="46" spans="2:5" ht="13" x14ac:dyDescent="0.3">
      <c r="B46" s="19" t="s">
        <v>171</v>
      </c>
      <c r="C46" s="19">
        <f ca="1">SUM(C38:C45)</f>
        <v>12</v>
      </c>
      <c r="D46" s="21">
        <f ca="1">SUM(D38:D45)</f>
        <v>26</v>
      </c>
      <c r="E46" s="19">
        <f ca="1">SUM(E38:E45)</f>
        <v>7</v>
      </c>
    </row>
  </sheetData>
  <conditionalFormatting sqref="F14">
    <cfRule type="cellIs" dxfId="26" priority="1" stopIfTrue="1" operator="greaterThan">
      <formula>0</formula>
    </cfRule>
  </conditionalFormatting>
  <printOptions horizontalCentered="1"/>
  <pageMargins left="0.5" right="0.5" top="0.5" bottom="0.5" header="0.3" footer="0.3"/>
  <pageSetup scale="5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2.5" x14ac:dyDescent="0.25"/>
  <cols>
    <col min="1" max="1" width="9.6328125" customWidth="1"/>
    <col min="2" max="2" width="16.6328125" customWidth="1"/>
    <col min="3" max="3" width="32.6328125" customWidth="1"/>
    <col min="4" max="4" width="38.6328125" customWidth="1"/>
    <col min="5" max="6" width="16.6328125" customWidth="1"/>
    <col min="7" max="7" width="42.6328125" customWidth="1"/>
    <col min="8" max="8" width="30.6328125" customWidth="1"/>
    <col min="9" max="9" width="13.6328125" customWidth="1"/>
    <col min="10" max="10" width="10.6328125" customWidth="1"/>
    <col min="11" max="12" width="18.6328125" customWidth="1"/>
    <col min="13" max="13" width="11.6328125" customWidth="1"/>
    <col min="14" max="14" width="16.6328125" customWidth="1"/>
    <col min="15" max="15" width="64.6328125" customWidth="1"/>
    <col min="16" max="16" width="9.6328125" customWidth="1"/>
    <col min="17" max="17" width="11.6328125" customWidth="1"/>
    <col min="18" max="18" width="18.6328125" customWidth="1"/>
    <col min="19" max="19" width="11.6328125" customWidth="1"/>
    <col min="20" max="20" width="22.6328125" customWidth="1"/>
    <col min="21" max="21" width="18.1796875" customWidth="1"/>
    <col min="22" max="22" width="16.6328125" customWidth="1"/>
    <col min="23" max="23" width="18.1796875" customWidth="1"/>
    <col min="24" max="24" width="10.6328125" customWidth="1"/>
  </cols>
  <sheetData>
    <row r="1" spans="1:24" ht="18" x14ac:dyDescent="0.4">
      <c r="A1" s="4" t="s">
        <v>90</v>
      </c>
    </row>
    <row r="2" spans="1:24" ht="78" customHeight="1" x14ac:dyDescent="0.25">
      <c r="A2" s="38" t="s">
        <v>91</v>
      </c>
      <c r="B2" s="38"/>
      <c r="C2" s="38"/>
      <c r="D2" s="38"/>
    </row>
    <row r="3" spans="1:24" ht="30" customHeight="1" x14ac:dyDescent="0.25">
      <c r="A3" s="2" t="s">
        <v>92</v>
      </c>
      <c r="B3" s="8" t="s">
        <v>93</v>
      </c>
      <c r="C3" s="2" t="s">
        <v>30</v>
      </c>
      <c r="D3" s="2" t="s">
        <v>94</v>
      </c>
      <c r="E3" s="2" t="s">
        <v>95</v>
      </c>
      <c r="F3" s="2" t="s">
        <v>11</v>
      </c>
      <c r="G3" s="2" t="s">
        <v>96</v>
      </c>
      <c r="H3" s="2" t="s">
        <v>22</v>
      </c>
      <c r="I3" s="2" t="s">
        <v>0</v>
      </c>
      <c r="J3" s="2" t="s">
        <v>18</v>
      </c>
      <c r="K3" s="8" t="s">
        <v>97</v>
      </c>
      <c r="L3" s="8" t="s">
        <v>98</v>
      </c>
      <c r="M3" s="9" t="s">
        <v>99</v>
      </c>
      <c r="N3" s="10" t="s">
        <v>100</v>
      </c>
      <c r="O3" s="2" t="s">
        <v>35</v>
      </c>
      <c r="P3" s="2" t="s">
        <v>1</v>
      </c>
      <c r="Q3" s="11" t="s">
        <v>101</v>
      </c>
      <c r="R3" s="2" t="s">
        <v>102</v>
      </c>
      <c r="S3" s="11" t="s">
        <v>103</v>
      </c>
      <c r="T3" s="2" t="s">
        <v>31</v>
      </c>
      <c r="U3" s="2" t="s">
        <v>32</v>
      </c>
      <c r="V3" s="2" t="s">
        <v>34</v>
      </c>
      <c r="W3" s="8" t="s">
        <v>104</v>
      </c>
      <c r="X3" s="2" t="s">
        <v>105</v>
      </c>
    </row>
    <row r="4" spans="1:24" x14ac:dyDescent="0.25">
      <c r="A4" s="12" t="str">
        <f t="shared" ref="A4:A15" si="0">"APP-"&amp;TEXT(ROW()-3,"000")</f>
        <v>APP-001</v>
      </c>
      <c r="B4" s="5">
        <v>46266</v>
      </c>
      <c r="C4" t="s">
        <v>36</v>
      </c>
      <c r="D4" t="s">
        <v>106</v>
      </c>
      <c r="E4" t="s">
        <v>40</v>
      </c>
      <c r="F4" t="s">
        <v>12</v>
      </c>
      <c r="G4" t="s">
        <v>107</v>
      </c>
      <c r="H4" t="s">
        <v>23</v>
      </c>
      <c r="I4" t="s">
        <v>9</v>
      </c>
      <c r="J4" t="s">
        <v>20</v>
      </c>
      <c r="K4" s="5">
        <v>46275</v>
      </c>
      <c r="L4" s="5">
        <v>46280</v>
      </c>
      <c r="M4" s="7">
        <v>2.5</v>
      </c>
      <c r="N4" s="6">
        <v>68000</v>
      </c>
      <c r="O4" t="s">
        <v>108</v>
      </c>
      <c r="P4" s="12" t="str">
        <f>IF(tblApplications[[#This Row],[Status]]="","",IFERROR(INDEX(tblStatus[Is Open],MATCH(tblApplications[[#This Row],[Status]],tblStatus[Status],0)),"Check status"))</f>
        <v>No</v>
      </c>
      <c r="Q4" s="13">
        <f ca="1">IF(tblApplications[[#This Row],[Date Applied]]="","",TODAY()-tblApplications[[#This Row],[Date Applied]])</f>
        <v>37</v>
      </c>
      <c r="R4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Closed</v>
      </c>
      <c r="S4" s="13">
        <f>IF(OR(tblApplications[[#This Row],[Date Applied]]="",tblApplications[[#This Row],[Response Date]]=""),"",tblApplications[[#This Row],[Response Date]]-tblApplications[[#This Row],[Date Applied]])</f>
        <v>14</v>
      </c>
      <c r="T4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Higher Education</v>
      </c>
      <c r="U4" s="12" t="str">
        <f>IF(tblApplications[[#This Row],[Company]]="","",IFERROR(VLOOKUP(TRIM(tblApplications[[#This Row],[Company]]),tblCompanies[],3,FALSE),"Not in Companies list"))</f>
        <v>500 to 1,000</v>
      </c>
      <c r="V4" s="12" t="str">
        <f>IF(tblApplications[[#This Row],[Company]]="","",IFERROR(INDEX(tblCompanies[City],MATCH(TRIM(tblApplications[[#This Row],[Company]]),tblCompanies[Company],0)),"Not in Companies list"))</f>
        <v>Toronto, ON</v>
      </c>
      <c r="W4" s="14">
        <f>IF(tblApplications[[#This Row],[Date Applied]]="","",tblApplications[[#This Row],[Date Applied]]-WEEKDAY(tblApplications[[#This Row],[Date Applied]],2)+1)</f>
        <v>46265</v>
      </c>
      <c r="X4" s="12" t="str">
        <f>IF(tblApplications[[#This Row],[Date Applied]]="","",TEXT(tblApplications[[#This Row],[Date Applied]],"mmm yyyy"))</f>
        <v>Sep 2026</v>
      </c>
    </row>
    <row r="5" spans="1:24" x14ac:dyDescent="0.25">
      <c r="A5" s="12" t="str">
        <f t="shared" si="0"/>
        <v>APP-002</v>
      </c>
      <c r="B5" s="5">
        <v>46268</v>
      </c>
      <c r="C5" t="s">
        <v>42</v>
      </c>
      <c r="D5" t="s">
        <v>109</v>
      </c>
      <c r="E5" t="s">
        <v>45</v>
      </c>
      <c r="F5" t="s">
        <v>12</v>
      </c>
      <c r="G5" t="s">
        <v>110</v>
      </c>
      <c r="H5" t="s">
        <v>24</v>
      </c>
      <c r="I5" t="s">
        <v>5</v>
      </c>
      <c r="J5" t="s">
        <v>19</v>
      </c>
      <c r="K5" s="5">
        <v>46305</v>
      </c>
      <c r="L5" s="5">
        <v>46277</v>
      </c>
      <c r="M5" s="7">
        <v>3</v>
      </c>
      <c r="N5" s="6">
        <v>62000</v>
      </c>
      <c r="O5" t="s">
        <v>111</v>
      </c>
      <c r="P5" s="12" t="str">
        <f>IF(tblApplications[[#This Row],[Status]]="","",IFERROR(INDEX(tblStatus[Is Open],MATCH(tblApplications[[#This Row],[Status]],tblStatus[Status],0)),"Check status"))</f>
        <v>Yes</v>
      </c>
      <c r="Q5" s="13">
        <f ca="1">IF(tblApplications[[#This Row],[Date Applied]]="","",TODAY()-tblApplications[[#This Row],[Date Applied]])</f>
        <v>35</v>
      </c>
      <c r="R5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Scheduled</v>
      </c>
      <c r="S5" s="13">
        <f>IF(OR(tblApplications[[#This Row],[Date Applied]]="",tblApplications[[#This Row],[Response Date]]=""),"",tblApplications[[#This Row],[Response Date]]-tblApplications[[#This Row],[Date Applied]])</f>
        <v>9</v>
      </c>
      <c r="T5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Higher Education</v>
      </c>
      <c r="U5" s="12" t="str">
        <f>IF(tblApplications[[#This Row],[Company]]="","",IFERROR(VLOOKUP(TRIM(tblApplications[[#This Row],[Company]]),tblCompanies[],3,FALSE),"Not in Companies list"))</f>
        <v>200 to 500</v>
      </c>
      <c r="V5" s="12" t="str">
        <f>IF(tblApplications[[#This Row],[Company]]="","",IFERROR(INDEX(tblCompanies[City],MATCH(TRIM(tblApplications[[#This Row],[Company]]),tblCompanies[Company],0)),"Not in Companies list"))</f>
        <v>Vancouver, BC</v>
      </c>
      <c r="W5" s="14">
        <f>IF(tblApplications[[#This Row],[Date Applied]]="","",tblApplications[[#This Row],[Date Applied]]-WEEKDAY(tblApplications[[#This Row],[Date Applied]],2)+1)</f>
        <v>46265</v>
      </c>
      <c r="X5" s="12" t="str">
        <f>IF(tblApplications[[#This Row],[Date Applied]]="","",TEXT(tblApplications[[#This Row],[Date Applied]],"mmm yyyy"))</f>
        <v>Sep 2026</v>
      </c>
    </row>
    <row r="6" spans="1:24" x14ac:dyDescent="0.25">
      <c r="A6" s="12" t="str">
        <f t="shared" si="0"/>
        <v>APP-003</v>
      </c>
      <c r="B6" s="5">
        <v>46273</v>
      </c>
      <c r="C6" t="s">
        <v>47</v>
      </c>
      <c r="D6" t="s">
        <v>112</v>
      </c>
      <c r="E6" t="s">
        <v>51</v>
      </c>
      <c r="F6" t="s">
        <v>13</v>
      </c>
      <c r="G6" t="s">
        <v>113</v>
      </c>
      <c r="H6" t="s">
        <v>24</v>
      </c>
      <c r="I6" t="s">
        <v>4</v>
      </c>
      <c r="J6" t="s">
        <v>19</v>
      </c>
      <c r="K6" s="5">
        <v>46301</v>
      </c>
      <c r="L6" s="5">
        <v>46285</v>
      </c>
      <c r="M6" s="7">
        <v>2</v>
      </c>
      <c r="N6" s="6">
        <v>70000</v>
      </c>
      <c r="O6" t="s">
        <v>114</v>
      </c>
      <c r="P6" s="12" t="str">
        <f>IF(tblApplications[[#This Row],[Status]]="","",IFERROR(INDEX(tblStatus[Is Open],MATCH(tblApplications[[#This Row],[Status]],tblStatus[Status],0)),"Check status"))</f>
        <v>Yes</v>
      </c>
      <c r="Q6" s="13">
        <f ca="1">IF(tblApplications[[#This Row],[Date Applied]]="","",TODAY()-tblApplications[[#This Row],[Date Applied]])</f>
        <v>30</v>
      </c>
      <c r="R6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Overdue</v>
      </c>
      <c r="S6" s="13">
        <f>IF(OR(tblApplications[[#This Row],[Date Applied]]="",tblApplications[[#This Row],[Response Date]]=""),"",tblApplications[[#This Row],[Response Date]]-tblApplications[[#This Row],[Date Applied]])</f>
        <v>12</v>
      </c>
      <c r="T6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Corporate Training</v>
      </c>
      <c r="U6" s="12" t="str">
        <f>IF(tblApplications[[#This Row],[Company]]="","",IFERROR(VLOOKUP(TRIM(tblApplications[[#This Row],[Company]]),tblCompanies[],3,FALSE),"Not in Companies list"))</f>
        <v>50 to 200</v>
      </c>
      <c r="V6" s="12" t="str">
        <f>IF(tblApplications[[#This Row],[Company]]="","",IFERROR(INDEX(tblCompanies[City],MATCH(TRIM(tblApplications[[#This Row],[Company]]),tblCompanies[Company],0)),"Not in Companies list"))</f>
        <v>Mississauga, ON</v>
      </c>
      <c r="W6" s="14">
        <f>IF(tblApplications[[#This Row],[Date Applied]]="","",tblApplications[[#This Row],[Date Applied]]-WEEKDAY(tblApplications[[#This Row],[Date Applied]],2)+1)</f>
        <v>46272</v>
      </c>
      <c r="X6" s="12" t="str">
        <f>IF(tblApplications[[#This Row],[Date Applied]]="","",TEXT(tblApplications[[#This Row],[Date Applied]],"mmm yyyy"))</f>
        <v>Sep 2026</v>
      </c>
    </row>
    <row r="7" spans="1:24" x14ac:dyDescent="0.25">
      <c r="A7" s="12" t="str">
        <f t="shared" si="0"/>
        <v>APP-004</v>
      </c>
      <c r="B7" s="5">
        <v>46275</v>
      </c>
      <c r="C7" t="s">
        <v>53</v>
      </c>
      <c r="D7" t="s">
        <v>115</v>
      </c>
      <c r="E7" t="s">
        <v>57</v>
      </c>
      <c r="F7" t="s">
        <v>14</v>
      </c>
      <c r="G7" t="s">
        <v>116</v>
      </c>
      <c r="H7" t="s">
        <v>23</v>
      </c>
      <c r="I7" t="s">
        <v>2</v>
      </c>
      <c r="J7" t="s">
        <v>21</v>
      </c>
      <c r="K7" s="5">
        <v>46289</v>
      </c>
      <c r="L7" s="5"/>
      <c r="M7" s="7">
        <v>1.5</v>
      </c>
      <c r="N7" s="6">
        <v>35000</v>
      </c>
      <c r="O7" t="s">
        <v>117</v>
      </c>
      <c r="P7" s="12" t="str">
        <f>IF(tblApplications[[#This Row],[Status]]="","",IFERROR(INDEX(tblStatus[Is Open],MATCH(tblApplications[[#This Row],[Status]],tblStatus[Status],0)),"Check status"))</f>
        <v>Yes</v>
      </c>
      <c r="Q7" s="13">
        <f ca="1">IF(tblApplications[[#This Row],[Date Applied]]="","",TODAY()-tblApplications[[#This Row],[Date Applied]])</f>
        <v>28</v>
      </c>
      <c r="R7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Overdue</v>
      </c>
      <c r="S7" s="13" t="str">
        <f>IF(OR(tblApplications[[#This Row],[Date Applied]]="",tblApplications[[#This Row],[Response Date]]=""),"",tblApplications[[#This Row],[Response Date]]-tblApplications[[#This Row],[Date Applied]])</f>
        <v/>
      </c>
      <c r="T7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Non-profit Education</v>
      </c>
      <c r="U7" s="12" t="str">
        <f>IF(tblApplications[[#This Row],[Company]]="","",IFERROR(VLOOKUP(TRIM(tblApplications[[#This Row],[Company]]),tblCompanies[],3,FALSE),"Not in Companies list"))</f>
        <v>10 to 50</v>
      </c>
      <c r="V7" s="12" t="str">
        <f>IF(tblApplications[[#This Row],[Company]]="","",IFERROR(INDEX(tblCompanies[City],MATCH(TRIM(tblApplications[[#This Row],[Company]]),tblCompanies[Company],0)),"Not in Companies list"))</f>
        <v>Calgary, AB</v>
      </c>
      <c r="W7" s="14">
        <f>IF(tblApplications[[#This Row],[Date Applied]]="","",tblApplications[[#This Row],[Date Applied]]-WEEKDAY(tblApplications[[#This Row],[Date Applied]],2)+1)</f>
        <v>46272</v>
      </c>
      <c r="X7" s="12" t="str">
        <f>IF(tblApplications[[#This Row],[Date Applied]]="","",TEXT(tblApplications[[#This Row],[Date Applied]],"mmm yyyy"))</f>
        <v>Sep 2026</v>
      </c>
    </row>
    <row r="8" spans="1:24" x14ac:dyDescent="0.25">
      <c r="A8" s="12" t="str">
        <f t="shared" si="0"/>
        <v>APP-005</v>
      </c>
      <c r="B8" s="5">
        <v>46280</v>
      </c>
      <c r="C8" t="s">
        <v>59</v>
      </c>
      <c r="D8" t="s">
        <v>118</v>
      </c>
      <c r="E8" t="s">
        <v>62</v>
      </c>
      <c r="F8" t="s">
        <v>15</v>
      </c>
      <c r="G8" t="s">
        <v>119</v>
      </c>
      <c r="H8" t="s">
        <v>25</v>
      </c>
      <c r="I8" t="s">
        <v>10</v>
      </c>
      <c r="J8" t="s">
        <v>20</v>
      </c>
      <c r="K8" s="5">
        <v>46294</v>
      </c>
      <c r="L8" s="5">
        <v>46287</v>
      </c>
      <c r="M8" s="7">
        <v>2</v>
      </c>
      <c r="N8" s="6">
        <v>75000</v>
      </c>
      <c r="O8" t="s">
        <v>120</v>
      </c>
      <c r="P8" s="12" t="str">
        <f>IF(tblApplications[[#This Row],[Status]]="","",IFERROR(INDEX(tblStatus[Is Open],MATCH(tblApplications[[#This Row],[Status]],tblStatus[Status],0)),"Check status"))</f>
        <v>No</v>
      </c>
      <c r="Q8" s="13">
        <f ca="1">IF(tblApplications[[#This Row],[Date Applied]]="","",TODAY()-tblApplications[[#This Row],[Date Applied]])</f>
        <v>23</v>
      </c>
      <c r="R8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Closed</v>
      </c>
      <c r="S8" s="13">
        <f>IF(OR(tblApplications[[#This Row],[Date Applied]]="",tblApplications[[#This Row],[Response Date]]=""),"",tblApplications[[#This Row],[Response Date]]-tblApplications[[#This Row],[Date Applied]])</f>
        <v>7</v>
      </c>
      <c r="T8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Management Consulting</v>
      </c>
      <c r="U8" s="12" t="str">
        <f>IF(tblApplications[[#This Row],[Company]]="","",IFERROR(VLOOKUP(TRIM(tblApplications[[#This Row],[Company]]),tblCompanies[],3,FALSE),"Not in Companies list"))</f>
        <v>50 to 200</v>
      </c>
      <c r="V8" s="12" t="str">
        <f>IF(tblApplications[[#This Row],[Company]]="","",IFERROR(INDEX(tblCompanies[City],MATCH(TRIM(tblApplications[[#This Row],[Company]]),tblCompanies[Company],0)),"Not in Companies list"))</f>
        <v>Halifax, NS</v>
      </c>
      <c r="W8" s="14">
        <f>IF(tblApplications[[#This Row],[Date Applied]]="","",tblApplications[[#This Row],[Date Applied]]-WEEKDAY(tblApplications[[#This Row],[Date Applied]],2)+1)</f>
        <v>46279</v>
      </c>
      <c r="X8" s="12" t="str">
        <f>IF(tblApplications[[#This Row],[Date Applied]]="","",TEXT(tblApplications[[#This Row],[Date Applied]],"mmm yyyy"))</f>
        <v>Sep 2026</v>
      </c>
    </row>
    <row r="9" spans="1:24" x14ac:dyDescent="0.25">
      <c r="A9" s="12" t="str">
        <f t="shared" si="0"/>
        <v>APP-006</v>
      </c>
      <c r="B9" s="5">
        <v>46283</v>
      </c>
      <c r="C9" t="s">
        <v>64</v>
      </c>
      <c r="D9" t="s">
        <v>121</v>
      </c>
      <c r="E9" t="s">
        <v>67</v>
      </c>
      <c r="F9" t="s">
        <v>12</v>
      </c>
      <c r="G9" t="s">
        <v>122</v>
      </c>
      <c r="H9" t="s">
        <v>23</v>
      </c>
      <c r="I9" t="s">
        <v>5</v>
      </c>
      <c r="J9" t="s">
        <v>19</v>
      </c>
      <c r="K9" s="5">
        <v>46303</v>
      </c>
      <c r="L9" s="5">
        <v>46295</v>
      </c>
      <c r="M9" s="7">
        <v>3.5</v>
      </c>
      <c r="N9" s="6">
        <v>72000</v>
      </c>
      <c r="O9" t="s">
        <v>123</v>
      </c>
      <c r="P9" s="12" t="str">
        <f>IF(tblApplications[[#This Row],[Status]]="","",IFERROR(INDEX(tblStatus[Is Open],MATCH(tblApplications[[#This Row],[Status]],tblStatus[Status],0)),"Check status"))</f>
        <v>Yes</v>
      </c>
      <c r="Q9" s="13">
        <f ca="1">IF(tblApplications[[#This Row],[Date Applied]]="","",TODAY()-tblApplications[[#This Row],[Date Applied]])</f>
        <v>20</v>
      </c>
      <c r="R9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Due today</v>
      </c>
      <c r="S9" s="13">
        <f>IF(OR(tblApplications[[#This Row],[Date Applied]]="",tblApplications[[#This Row],[Response Date]]=""),"",tblApplications[[#This Row],[Response Date]]-tblApplications[[#This Row],[Date Applied]])</f>
        <v>12</v>
      </c>
      <c r="T9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EdTech</v>
      </c>
      <c r="U9" s="12" t="str">
        <f>IF(tblApplications[[#This Row],[Company]]="","",IFERROR(VLOOKUP(TRIM(tblApplications[[#This Row],[Company]]),tblCompanies[],3,FALSE),"Not in Companies list"))</f>
        <v>200 to 500</v>
      </c>
      <c r="V9" s="12" t="str">
        <f>IF(tblApplications[[#This Row],[Company]]="","",IFERROR(INDEX(tblCompanies[City],MATCH(TRIM(tblApplications[[#This Row],[Company]]),tblCompanies[Company],0)),"Not in Companies list"))</f>
        <v>Ottawa, ON</v>
      </c>
      <c r="W9" s="14">
        <f>IF(tblApplications[[#This Row],[Date Applied]]="","",tblApplications[[#This Row],[Date Applied]]-WEEKDAY(tblApplications[[#This Row],[Date Applied]],2)+1)</f>
        <v>46279</v>
      </c>
      <c r="X9" s="12" t="str">
        <f>IF(tblApplications[[#This Row],[Date Applied]]="","",TEXT(tblApplications[[#This Row],[Date Applied]],"mmm yyyy"))</f>
        <v>Sep 2026</v>
      </c>
    </row>
    <row r="10" spans="1:24" x14ac:dyDescent="0.25">
      <c r="A10" s="12" t="str">
        <f t="shared" si="0"/>
        <v>APP-007</v>
      </c>
      <c r="B10" s="5">
        <v>46287</v>
      </c>
      <c r="C10" t="s">
        <v>69</v>
      </c>
      <c r="D10" t="s">
        <v>124</v>
      </c>
      <c r="E10" t="s">
        <v>72</v>
      </c>
      <c r="F10" t="s">
        <v>14</v>
      </c>
      <c r="G10" t="s">
        <v>125</v>
      </c>
      <c r="H10" t="s">
        <v>23</v>
      </c>
      <c r="I10" t="s">
        <v>2</v>
      </c>
      <c r="J10" t="s">
        <v>20</v>
      </c>
      <c r="K10" s="5">
        <v>46308</v>
      </c>
      <c r="L10" s="5"/>
      <c r="M10" s="7">
        <v>2</v>
      </c>
      <c r="N10" s="6">
        <v>58000</v>
      </c>
      <c r="O10" t="s">
        <v>126</v>
      </c>
      <c r="P10" s="12" t="str">
        <f>IF(tblApplications[[#This Row],[Status]]="","",IFERROR(INDEX(tblStatus[Is Open],MATCH(tblApplications[[#This Row],[Status]],tblStatus[Status],0)),"Check status"))</f>
        <v>Yes</v>
      </c>
      <c r="Q10" s="13">
        <f ca="1">IF(tblApplications[[#This Row],[Date Applied]]="","",TODAY()-tblApplications[[#This Row],[Date Applied]])</f>
        <v>16</v>
      </c>
      <c r="R10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Scheduled</v>
      </c>
      <c r="S10" s="13" t="str">
        <f>IF(OR(tblApplications[[#This Row],[Date Applied]]="",tblApplications[[#This Row],[Response Date]]=""),"",tblApplications[[#This Row],[Response Date]]-tblApplications[[#This Row],[Date Applied]])</f>
        <v/>
      </c>
      <c r="T10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Higher Education</v>
      </c>
      <c r="U10" s="12" t="str">
        <f>IF(tblApplications[[#This Row],[Company]]="","",IFERROR(VLOOKUP(TRIM(tblApplications[[#This Row],[Company]]),tblCompanies[],3,FALSE),"Not in Companies list"))</f>
        <v>1,000+</v>
      </c>
      <c r="V10" s="12" t="str">
        <f>IF(tblApplications[[#This Row],[Company]]="","",IFERROR(INDEX(tblCompanies[City],MATCH(TRIM(tblApplications[[#This Row],[Company]]),tblCompanies[Company],0)),"Not in Companies list"))</f>
        <v>Edmonton, AB</v>
      </c>
      <c r="W10" s="14">
        <f>IF(tblApplications[[#This Row],[Date Applied]]="","",tblApplications[[#This Row],[Date Applied]]-WEEKDAY(tblApplications[[#This Row],[Date Applied]],2)+1)</f>
        <v>46286</v>
      </c>
      <c r="X10" s="12" t="str">
        <f>IF(tblApplications[[#This Row],[Date Applied]]="","",TEXT(tblApplications[[#This Row],[Date Applied]],"mmm yyyy"))</f>
        <v>Sep 2026</v>
      </c>
    </row>
    <row r="11" spans="1:24" x14ac:dyDescent="0.25">
      <c r="A11" s="12" t="str">
        <f t="shared" si="0"/>
        <v>APP-008</v>
      </c>
      <c r="B11" s="5">
        <v>46290</v>
      </c>
      <c r="C11" t="s">
        <v>74</v>
      </c>
      <c r="D11" t="s">
        <v>127</v>
      </c>
      <c r="E11" t="s">
        <v>77</v>
      </c>
      <c r="F11" t="s">
        <v>13</v>
      </c>
      <c r="G11" t="s">
        <v>128</v>
      </c>
      <c r="H11" t="s">
        <v>25</v>
      </c>
      <c r="I11" t="s">
        <v>6</v>
      </c>
      <c r="J11" t="s">
        <v>21</v>
      </c>
      <c r="K11" s="5">
        <v>46297</v>
      </c>
      <c r="L11" s="5"/>
      <c r="M11" s="7">
        <v>1</v>
      </c>
      <c r="N11" s="6">
        <v>48000</v>
      </c>
      <c r="O11" t="s">
        <v>129</v>
      </c>
      <c r="P11" s="12" t="str">
        <f>IF(tblApplications[[#This Row],[Status]]="","",IFERROR(INDEX(tblStatus[Is Open],MATCH(tblApplications[[#This Row],[Status]],tblStatus[Status],0)),"Check status"))</f>
        <v>Yes</v>
      </c>
      <c r="Q11" s="13">
        <f ca="1">IF(tblApplications[[#This Row],[Date Applied]]="","",TODAY()-tblApplications[[#This Row],[Date Applied]])</f>
        <v>13</v>
      </c>
      <c r="R11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Overdue</v>
      </c>
      <c r="S11" s="13" t="str">
        <f>IF(OR(tblApplications[[#This Row],[Date Applied]]="",tblApplications[[#This Row],[Response Date]]=""),"",tblApplications[[#This Row],[Response Date]]-tblApplications[[#This Row],[Date Applied]])</f>
        <v/>
      </c>
      <c r="T11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Marketing Agency</v>
      </c>
      <c r="U11" s="12" t="str">
        <f>IF(tblApplications[[#This Row],[Company]]="","",IFERROR(VLOOKUP(TRIM(tblApplications[[#This Row],[Company]]),tblCompanies[],3,FALSE),"Not in Companies list"))</f>
        <v>10 to 50</v>
      </c>
      <c r="V11" s="12" t="str">
        <f>IF(tblApplications[[#This Row],[Company]]="","",IFERROR(INDEX(tblCompanies[City],MATCH(TRIM(tblApplications[[#This Row],[Company]]),tblCompanies[Company],0)),"Not in Companies list"))</f>
        <v>London, ON</v>
      </c>
      <c r="W11" s="14">
        <f>IF(tblApplications[[#This Row],[Date Applied]]="","",tblApplications[[#This Row],[Date Applied]]-WEEKDAY(tblApplications[[#This Row],[Date Applied]],2)+1)</f>
        <v>46286</v>
      </c>
      <c r="X11" s="12" t="str">
        <f>IF(tblApplications[[#This Row],[Date Applied]]="","",TEXT(tblApplications[[#This Row],[Date Applied]],"mmm yyyy"))</f>
        <v>Sep 2026</v>
      </c>
    </row>
    <row r="12" spans="1:24" x14ac:dyDescent="0.25">
      <c r="A12" s="12" t="str">
        <f t="shared" si="0"/>
        <v>APP-009</v>
      </c>
      <c r="B12" s="5">
        <v>46294</v>
      </c>
      <c r="C12" t="s">
        <v>79</v>
      </c>
      <c r="D12" t="s">
        <v>130</v>
      </c>
      <c r="E12" t="s">
        <v>82</v>
      </c>
      <c r="F12" t="s">
        <v>12</v>
      </c>
      <c r="G12" t="s">
        <v>131</v>
      </c>
      <c r="H12" t="s">
        <v>23</v>
      </c>
      <c r="I12" t="s">
        <v>4</v>
      </c>
      <c r="J12" t="s">
        <v>20</v>
      </c>
      <c r="K12" s="5">
        <v>46304</v>
      </c>
      <c r="L12" s="5">
        <v>46300</v>
      </c>
      <c r="M12" s="7">
        <v>2.5</v>
      </c>
      <c r="N12" s="6">
        <v>66000</v>
      </c>
      <c r="O12" t="s">
        <v>132</v>
      </c>
      <c r="P12" s="12" t="str">
        <f>IF(tblApplications[[#This Row],[Status]]="","",IFERROR(INDEX(tblStatus[Is Open],MATCH(tblApplications[[#This Row],[Status]],tblStatus[Status],0)),"Check status"))</f>
        <v>Yes</v>
      </c>
      <c r="Q12" s="13">
        <f ca="1">IF(tblApplications[[#This Row],[Date Applied]]="","",TODAY()-tblApplications[[#This Row],[Date Applied]])</f>
        <v>9</v>
      </c>
      <c r="R12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Scheduled</v>
      </c>
      <c r="S12" s="13">
        <f>IF(OR(tblApplications[[#This Row],[Date Applied]]="",tblApplications[[#This Row],[Response Date]]=""),"",tblApplications[[#This Row],[Response Date]]-tblApplications[[#This Row],[Date Applied]])</f>
        <v>6</v>
      </c>
      <c r="T12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Financial Services</v>
      </c>
      <c r="U12" s="12" t="str">
        <f>IF(tblApplications[[#This Row],[Company]]="","",IFERROR(VLOOKUP(TRIM(tblApplications[[#This Row],[Company]]),tblCompanies[],3,FALSE),"Not in Companies list"))</f>
        <v>50 to 200</v>
      </c>
      <c r="V12" s="12" t="str">
        <f>IF(tblApplications[[#This Row],[Company]]="","",IFERROR(INDEX(tblCompanies[City],MATCH(TRIM(tblApplications[[#This Row],[Company]]),tblCompanies[Company],0)),"Not in Companies list"))</f>
        <v>Winnipeg, MB</v>
      </c>
      <c r="W12" s="14">
        <f>IF(tblApplications[[#This Row],[Date Applied]]="","",tblApplications[[#This Row],[Date Applied]]-WEEKDAY(tblApplications[[#This Row],[Date Applied]],2)+1)</f>
        <v>46293</v>
      </c>
      <c r="X12" s="12" t="str">
        <f>IF(tblApplications[[#This Row],[Date Applied]]="","",TEXT(tblApplications[[#This Row],[Date Applied]],"mmm yyyy"))</f>
        <v>Sep 2026</v>
      </c>
    </row>
    <row r="13" spans="1:24" x14ac:dyDescent="0.25">
      <c r="A13" s="12" t="str">
        <f t="shared" si="0"/>
        <v>APP-010</v>
      </c>
      <c r="B13" s="5">
        <v>46296</v>
      </c>
      <c r="C13" t="s">
        <v>84</v>
      </c>
      <c r="D13" t="s">
        <v>133</v>
      </c>
      <c r="E13" t="s">
        <v>86</v>
      </c>
      <c r="F13" t="s">
        <v>12</v>
      </c>
      <c r="G13" t="s">
        <v>134</v>
      </c>
      <c r="H13" t="s">
        <v>23</v>
      </c>
      <c r="I13" t="s">
        <v>2</v>
      </c>
      <c r="J13" t="s">
        <v>19</v>
      </c>
      <c r="K13" s="5">
        <v>46310</v>
      </c>
      <c r="L13" s="5"/>
      <c r="M13" s="7">
        <v>2</v>
      </c>
      <c r="N13" s="6">
        <v>55000</v>
      </c>
      <c r="O13" t="s">
        <v>135</v>
      </c>
      <c r="P13" s="12" t="str">
        <f>IF(tblApplications[[#This Row],[Status]]="","",IFERROR(INDEX(tblStatus[Is Open],MATCH(tblApplications[[#This Row],[Status]],tblStatus[Status],0)),"Check status"))</f>
        <v>Yes</v>
      </c>
      <c r="Q13" s="13">
        <f ca="1">IF(tblApplications[[#This Row],[Date Applied]]="","",TODAY()-tblApplications[[#This Row],[Date Applied]])</f>
        <v>7</v>
      </c>
      <c r="R13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Scheduled</v>
      </c>
      <c r="S13" s="13" t="str">
        <f>IF(OR(tblApplications[[#This Row],[Date Applied]]="",tblApplications[[#This Row],[Response Date]]=""),"",tblApplications[[#This Row],[Response Date]]-tblApplications[[#This Row],[Date Applied]])</f>
        <v/>
      </c>
      <c r="T13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EdTech</v>
      </c>
      <c r="U13" s="12" t="str">
        <f>IF(tblApplications[[#This Row],[Company]]="","",IFERROR(VLOOKUP(TRIM(tblApplications[[#This Row],[Company]]),tblCompanies[],3,FALSE),"Not in Companies list"))</f>
        <v>10 to 50</v>
      </c>
      <c r="V13" s="12" t="str">
        <f>IF(tblApplications[[#This Row],[Company]]="","",IFERROR(INDEX(tblCompanies[City],MATCH(TRIM(tblApplications[[#This Row],[Company]]),tblCompanies[Company],0)),"Not in Companies list"))</f>
        <v>Remote (Canada)</v>
      </c>
      <c r="W13" s="14">
        <f>IF(tblApplications[[#This Row],[Date Applied]]="","",tblApplications[[#This Row],[Date Applied]]-WEEKDAY(tblApplications[[#This Row],[Date Applied]],2)+1)</f>
        <v>46293</v>
      </c>
      <c r="X13" s="12" t="str">
        <f>IF(tblApplications[[#This Row],[Date Applied]]="","",TEXT(tblApplications[[#This Row],[Date Applied]],"mmm yyyy"))</f>
        <v>Oct 2026</v>
      </c>
    </row>
    <row r="14" spans="1:24" x14ac:dyDescent="0.25">
      <c r="A14" s="12" t="str">
        <f t="shared" si="0"/>
        <v>APP-011</v>
      </c>
      <c r="B14" s="5">
        <v>46298</v>
      </c>
      <c r="C14" t="s">
        <v>36</v>
      </c>
      <c r="D14" t="s">
        <v>136</v>
      </c>
      <c r="E14" t="s">
        <v>40</v>
      </c>
      <c r="F14" t="s">
        <v>12</v>
      </c>
      <c r="G14" t="s">
        <v>137</v>
      </c>
      <c r="H14" t="s">
        <v>24</v>
      </c>
      <c r="I14" t="s">
        <v>7</v>
      </c>
      <c r="J14" t="s">
        <v>19</v>
      </c>
      <c r="K14" s="5">
        <v>46302</v>
      </c>
      <c r="L14" s="5">
        <v>46301</v>
      </c>
      <c r="M14" s="7">
        <v>3</v>
      </c>
      <c r="N14" s="6">
        <v>60000</v>
      </c>
      <c r="O14" t="s">
        <v>138</v>
      </c>
      <c r="P14" s="12" t="str">
        <f>IF(tblApplications[[#This Row],[Status]]="","",IFERROR(INDEX(tblStatus[Is Open],MATCH(tblApplications[[#This Row],[Status]],tblStatus[Status],0)),"Check status"))</f>
        <v>No</v>
      </c>
      <c r="Q14" s="13">
        <f ca="1">IF(tblApplications[[#This Row],[Date Applied]]="","",TODAY()-tblApplications[[#This Row],[Date Applied]])</f>
        <v>5</v>
      </c>
      <c r="R14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Closed</v>
      </c>
      <c r="S14" s="13">
        <f>IF(OR(tblApplications[[#This Row],[Date Applied]]="",tblApplications[[#This Row],[Response Date]]=""),"",tblApplications[[#This Row],[Response Date]]-tblApplications[[#This Row],[Date Applied]])</f>
        <v>3</v>
      </c>
      <c r="T14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Higher Education</v>
      </c>
      <c r="U14" s="12" t="str">
        <f>IF(tblApplications[[#This Row],[Company]]="","",IFERROR(VLOOKUP(TRIM(tblApplications[[#This Row],[Company]]),tblCompanies[],3,FALSE),"Not in Companies list"))</f>
        <v>500 to 1,000</v>
      </c>
      <c r="V14" s="12" t="str">
        <f>IF(tblApplications[[#This Row],[Company]]="","",IFERROR(INDEX(tblCompanies[City],MATCH(TRIM(tblApplications[[#This Row],[Company]]),tblCompanies[Company],0)),"Not in Companies list"))</f>
        <v>Toronto, ON</v>
      </c>
      <c r="W14" s="14">
        <f>IF(tblApplications[[#This Row],[Date Applied]]="","",tblApplications[[#This Row],[Date Applied]]-WEEKDAY(tblApplications[[#This Row],[Date Applied]],2)+1)</f>
        <v>46293</v>
      </c>
      <c r="X14" s="12" t="str">
        <f>IF(tblApplications[[#This Row],[Date Applied]]="","",TEXT(tblApplications[[#This Row],[Date Applied]],"mmm yyyy"))</f>
        <v>Oct 2026</v>
      </c>
    </row>
    <row r="15" spans="1:24" x14ac:dyDescent="0.25">
      <c r="A15" s="12" t="str">
        <f t="shared" si="0"/>
        <v>APP-012</v>
      </c>
      <c r="B15" s="5">
        <v>46301</v>
      </c>
      <c r="C15" t="s">
        <v>42</v>
      </c>
      <c r="D15" t="s">
        <v>109</v>
      </c>
      <c r="E15" t="s">
        <v>45</v>
      </c>
      <c r="F15" t="s">
        <v>15</v>
      </c>
      <c r="G15" t="s">
        <v>139</v>
      </c>
      <c r="H15" t="s">
        <v>24</v>
      </c>
      <c r="I15" t="s">
        <v>2</v>
      </c>
      <c r="J15" t="s">
        <v>20</v>
      </c>
      <c r="K15" s="5">
        <v>46315</v>
      </c>
      <c r="L15" s="5"/>
      <c r="M15" s="7">
        <v>1</v>
      </c>
      <c r="N15" s="6">
        <v>62000</v>
      </c>
      <c r="O15" t="s">
        <v>140</v>
      </c>
      <c r="P15" s="12" t="str">
        <f>IF(tblApplications[[#This Row],[Status]]="","",IFERROR(INDEX(tblStatus[Is Open],MATCH(tblApplications[[#This Row],[Status]],tblStatus[Status],0)),"Check status"))</f>
        <v>Yes</v>
      </c>
      <c r="Q15" s="13">
        <f ca="1">IF(tblApplications[[#This Row],[Date Applied]]="","",TODAY()-tblApplications[[#This Row],[Date Applied]])</f>
        <v>2</v>
      </c>
      <c r="R15" s="12" t="str">
        <f ca="1">IF(tblApplications[[#This Row],[Date Applied]]="","",IF(tblApplications[[#This Row],[Status]]="","Add status",IF(tblApplications[[#This Row],[Is Open]]="No","Closed",IF(tblApplications[[#This Row],[Follow-Up Date]]="","No date set",IF(tblApplications[[#This Row],[Follow-Up Date]]&lt;TODAY(),"Overdue",IF(tblApplications[[#This Row],[Follow-Up Date]]=TODAY(),"Due today","Scheduled"))))))</f>
        <v>Scheduled</v>
      </c>
      <c r="S15" s="13" t="str">
        <f>IF(OR(tblApplications[[#This Row],[Date Applied]]="",tblApplications[[#This Row],[Response Date]]=""),"",tblApplications[[#This Row],[Response Date]]-tblApplications[[#This Row],[Date Applied]])</f>
        <v/>
      </c>
      <c r="T15" s="12" t="str">
        <f ca="1">IF(tblApplications[[#This Row],[Company]]="","",IFERROR(_xlfn.XLOOKUP(TRIM(tblApplications[[#This Row],[Company]]),tblCompanies[Company],tblCompanies[Industry],"Not in Companies list"),IFERROR(INDEX(tblCompanies[Industry],MATCH(TRIM(tblApplications[[#This Row],[Company]]),tblCompanies[Company],0)),"Not in Companies list")))</f>
        <v>Higher Education</v>
      </c>
      <c r="U15" s="12" t="str">
        <f>IF(tblApplications[[#This Row],[Company]]="","",IFERROR(VLOOKUP(TRIM(tblApplications[[#This Row],[Company]]),tblCompanies[],3,FALSE),"Not in Companies list"))</f>
        <v>200 to 500</v>
      </c>
      <c r="V15" s="12" t="str">
        <f>IF(tblApplications[[#This Row],[Company]]="","",IFERROR(INDEX(tblCompanies[City],MATCH(TRIM(tblApplications[[#This Row],[Company]]),tblCompanies[Company],0)),"Not in Companies list"))</f>
        <v>Vancouver, BC</v>
      </c>
      <c r="W15" s="14">
        <f>IF(tblApplications[[#This Row],[Date Applied]]="","",tblApplications[[#This Row],[Date Applied]]-WEEKDAY(tblApplications[[#This Row],[Date Applied]],2)+1)</f>
        <v>46300</v>
      </c>
      <c r="X15" s="12" t="str">
        <f>IF(tblApplications[[#This Row],[Date Applied]]="","",TEXT(tblApplications[[#This Row],[Date Applied]],"mmm yyyy"))</f>
        <v>Oct 2026</v>
      </c>
    </row>
  </sheetData>
  <mergeCells count="1">
    <mergeCell ref="A2:D2"/>
  </mergeCells>
  <conditionalFormatting sqref="R4:R500">
    <cfRule type="cellIs" dxfId="25" priority="1" stopIfTrue="1" operator="equal">
      <formula>"Overdue"</formula>
    </cfRule>
    <cfRule type="cellIs" dxfId="24" priority="2" stopIfTrue="1" operator="equal">
      <formula>"Due today"</formula>
    </cfRule>
    <cfRule type="cellIs" dxfId="23" priority="3" stopIfTrue="1" operator="equal">
      <formula>"Add status"</formula>
    </cfRule>
  </conditionalFormatting>
  <conditionalFormatting sqref="I4:I500">
    <cfRule type="cellIs" dxfId="22" priority="4" stopIfTrue="1" operator="equal">
      <formula>"Offer"</formula>
    </cfRule>
    <cfRule type="cellIs" dxfId="21" priority="5" stopIfTrue="1" operator="equal">
      <formula>"Interview"</formula>
    </cfRule>
    <cfRule type="cellIs" dxfId="20" priority="6" stopIfTrue="1" operator="equal">
      <formula>"Rejected"</formula>
    </cfRule>
    <cfRule type="cellIs" dxfId="19" priority="7" stopIfTrue="1" operator="equal">
      <formula>"Withdrawn"</formula>
    </cfRule>
  </conditionalFormatting>
  <conditionalFormatting sqref="P4:P500">
    <cfRule type="cellIs" dxfId="18" priority="8" stopIfTrue="1" operator="equal">
      <formula>"Check status"</formula>
    </cfRule>
  </conditionalFormatting>
  <conditionalFormatting sqref="Q4:Q500">
    <cfRule type="expression" dxfId="17" priority="9" stopIfTrue="1">
      <formula>AND($I4="Applied",$Q4&gt;14)</formula>
    </cfRule>
  </conditionalFormatting>
  <conditionalFormatting sqref="C4:D500">
    <cfRule type="expression" dxfId="16" priority="10" stopIfTrue="1">
      <formula>AND($C4&lt;&gt;"",COUNTIFS($C$4:$C$500,$C4,$D$4:$D$500,$D4)&gt;1)</formula>
    </cfRule>
  </conditionalFormatting>
  <dataValidations count="10">
    <dataValidation type="list" allowBlank="1" showInputMessage="1" promptTitle="Company" prompt="Pick from the Companies sheet, or type a new company (add it to Companies so Industry, Size and City fill in)." sqref="C4:C500">
      <formula1>CompanyList</formula1>
    </dataValidation>
    <dataValidation type="list" allowBlank="1" showInputMessage="1" showErrorMessage="1" errorTitle="Not in list" error="Pick a value from the dropdown, or add it on the Lists sheet first." promptTitle="Platform" prompt="Where the application was submitted." sqref="F4:F500">
      <formula1>PlatformList</formula1>
    </dataValidation>
    <dataValidation type="list" allowBlank="1" showInputMessage="1" showErrorMessage="1" errorTitle="Not in list" error="Pick a value from the dropdown, or add it on the Lists sheet first." promptTitle="Resume Version" prompt="Which tailored resume was sent." sqref="H4:H500">
      <formula1>ResumeList</formula1>
    </dataValidation>
    <dataValidation type="list" allowBlank="1" showInputMessage="1" showErrorMessage="1" errorTitle="Not in list" error="Pick a value from the dropdown, or add it on the Lists sheet first." promptTitle="Status" prompt="Current stage. Open stages: Applied, Screening, Interview, No Response. Closed: Offer, Rejected, Withdrawn." sqref="I4:I500">
      <formula1>StatusList</formula1>
    </dataValidation>
    <dataValidation type="list" allowBlank="1" showInputMessage="1" showErrorMessage="1" errorTitle="Not in list" error="Pick a value from the dropdown, or add it on the Lists sheet first." promptTitle="Priority" prompt="High, Medium or Low." sqref="J4:J500">
      <formula1>PriorityList</formula1>
    </dataValidation>
    <dataValidation type="date" operator="lessThanOrEqual" allowBlank="1" showInputMessage="1" showErrorMessage="1" errorTitle="Invalid date" error="Enter a valid date that is not in the future." promptTitle="Date Applied" prompt="Enter the date the application was submitted (today or earlier)." sqref="B4:B500">
      <formula1>TODAY()</formula1>
    </dataValidation>
    <dataValidation type="date" operator="greaterThanOrEqual" allowBlank="1" showInputMessage="1" showErrorMessage="1" errorTitle="Invalid date" error="Enter a date on or after the Date Applied." promptTitle="Follow-Up Date" prompt="When to chase this application. Must be on or after the Date Applied." sqref="K4:K500">
      <formula1>B4</formula1>
    </dataValidation>
    <dataValidation type="date" operator="greaterThanOrEqual" allowBlank="1" showInputMessage="1" showErrorMessage="1" errorTitle="Invalid date" error="Enter a date on or after the Date Applied." promptTitle="Response Date" prompt="Date of the first reply from the employer (leave blank until one arrives)." sqref="L4:L500">
      <formula1>B4</formula1>
    </dataValidation>
    <dataValidation type="decimal" operator="greaterThanOrEqual" allowBlank="1" showInputMessage="1" showErrorMessage="1" errorTitle="Invalid number" error="Enter a number of hours, zero or more." promptTitle="Time Spent (hrs)" prompt="Hours spent researching, tailoring and applying (for example 1.5)." sqref="M4:M500">
      <formula1>0</formula1>
    </dataValidation>
    <dataValidation type="whole" operator="greaterThanOrEqual" allowBlank="1" showInputMessage="1" showErrorMessage="1" errorTitle="Invalid number" error="Enter a whole number, zero or more." promptTitle="Salary (CAD)" prompt="Advertised or expected annual salary in Canadian dollars (whole number)." sqref="N4:N500">
      <formula1>0</formula1>
    </dataValidation>
  </dataValidations>
  <printOptions horizontalCentered="1"/>
  <pageMargins left="0.5" right="0.5" top="0.5" bottom="0.5" header="0.3" footer="0.3"/>
  <pageSetup scale="52" fitToWidth="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/>
  </sheetViews>
  <sheetFormatPr defaultRowHeight="12.5" x14ac:dyDescent="0.25"/>
  <cols>
    <col min="1" max="1" width="34.6328125" customWidth="1"/>
    <col min="2" max="2" width="22.6328125" customWidth="1"/>
    <col min="3" max="3" width="18.1796875" customWidth="1"/>
    <col min="4" max="4" width="28.6328125" customWidth="1"/>
    <col min="5" max="5" width="18.6328125" customWidth="1"/>
    <col min="6" max="6" width="48.6328125" customWidth="1"/>
    <col min="8" max="8" width="60.6328125" customWidth="1"/>
  </cols>
  <sheetData>
    <row r="1" spans="1:8" ht="13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H1" s="1" t="s">
        <v>27</v>
      </c>
    </row>
    <row r="2" spans="1:8" ht="39" customHeight="1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H2" s="3" t="s">
        <v>88</v>
      </c>
    </row>
    <row r="3" spans="1:8" ht="26" customHeight="1" x14ac:dyDescent="0.25">
      <c r="A3" t="s">
        <v>42</v>
      </c>
      <c r="B3" t="s">
        <v>37</v>
      </c>
      <c r="C3" t="s">
        <v>43</v>
      </c>
      <c r="D3" t="s">
        <v>44</v>
      </c>
      <c r="E3" t="s">
        <v>45</v>
      </c>
      <c r="F3" t="s">
        <v>46</v>
      </c>
      <c r="H3" s="3" t="s">
        <v>89</v>
      </c>
    </row>
    <row r="4" spans="1:8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</row>
    <row r="5" spans="1:8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</row>
    <row r="6" spans="1:8" x14ac:dyDescent="0.25">
      <c r="A6" t="s">
        <v>59</v>
      </c>
      <c r="B6" t="s">
        <v>60</v>
      </c>
      <c r="C6" t="s">
        <v>49</v>
      </c>
      <c r="D6" t="s">
        <v>61</v>
      </c>
      <c r="E6" t="s">
        <v>62</v>
      </c>
      <c r="F6" t="s">
        <v>63</v>
      </c>
    </row>
    <row r="7" spans="1:8" x14ac:dyDescent="0.25">
      <c r="A7" t="s">
        <v>64</v>
      </c>
      <c r="B7" t="s">
        <v>65</v>
      </c>
      <c r="C7" t="s">
        <v>43</v>
      </c>
      <c r="D7" t="s">
        <v>66</v>
      </c>
      <c r="E7" t="s">
        <v>67</v>
      </c>
      <c r="F7" t="s">
        <v>68</v>
      </c>
    </row>
    <row r="8" spans="1:8" x14ac:dyDescent="0.25">
      <c r="A8" t="s">
        <v>69</v>
      </c>
      <c r="B8" t="s">
        <v>37</v>
      </c>
      <c r="C8" t="s">
        <v>70</v>
      </c>
      <c r="D8" t="s">
        <v>71</v>
      </c>
      <c r="E8" t="s">
        <v>72</v>
      </c>
      <c r="F8" t="s">
        <v>73</v>
      </c>
    </row>
    <row r="9" spans="1:8" x14ac:dyDescent="0.25">
      <c r="A9" t="s">
        <v>74</v>
      </c>
      <c r="B9" t="s">
        <v>75</v>
      </c>
      <c r="C9" t="s">
        <v>55</v>
      </c>
      <c r="D9" t="s">
        <v>76</v>
      </c>
      <c r="E9" t="s">
        <v>77</v>
      </c>
      <c r="F9" t="s">
        <v>78</v>
      </c>
    </row>
    <row r="10" spans="1:8" x14ac:dyDescent="0.25">
      <c r="A10" t="s">
        <v>79</v>
      </c>
      <c r="B10" t="s">
        <v>80</v>
      </c>
      <c r="C10" t="s">
        <v>49</v>
      </c>
      <c r="D10" t="s">
        <v>81</v>
      </c>
      <c r="E10" t="s">
        <v>82</v>
      </c>
      <c r="F10" t="s">
        <v>83</v>
      </c>
    </row>
    <row r="11" spans="1:8" x14ac:dyDescent="0.25">
      <c r="A11" t="s">
        <v>84</v>
      </c>
      <c r="B11" t="s">
        <v>65</v>
      </c>
      <c r="C11" t="s">
        <v>55</v>
      </c>
      <c r="D11" t="s">
        <v>85</v>
      </c>
      <c r="E11" t="s">
        <v>86</v>
      </c>
      <c r="F11" t="s">
        <v>87</v>
      </c>
    </row>
  </sheetData>
  <printOptions horizontalCentered="1"/>
  <pageMargins left="0.5" right="0.5" top="0.5" bottom="0.5" header="0.3" footer="0.3"/>
  <pageSetup scale="54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"/>
  <sheetViews>
    <sheetView workbookViewId="0"/>
  </sheetViews>
  <sheetFormatPr defaultRowHeight="12.5" x14ac:dyDescent="0.25"/>
  <cols>
    <col min="1" max="1" width="16.6328125" customWidth="1"/>
    <col min="2" max="2" width="12.6328125" customWidth="1"/>
    <col min="4" max="4" width="18.6328125" customWidth="1"/>
    <col min="6" max="6" width="12.6328125" customWidth="1"/>
    <col min="8" max="8" width="34.6328125" customWidth="1"/>
    <col min="10" max="10" width="60.6328125" customWidth="1"/>
  </cols>
  <sheetData>
    <row r="1" spans="1:10" ht="13" x14ac:dyDescent="0.3">
      <c r="A1" t="s">
        <v>0</v>
      </c>
      <c r="B1" t="s">
        <v>1</v>
      </c>
      <c r="D1" t="s">
        <v>11</v>
      </c>
      <c r="F1" t="s">
        <v>18</v>
      </c>
      <c r="H1" t="s">
        <v>22</v>
      </c>
      <c r="J1" s="1" t="s">
        <v>27</v>
      </c>
    </row>
    <row r="2" spans="1:10" ht="39" customHeight="1" x14ac:dyDescent="0.25">
      <c r="A2" t="s">
        <v>2</v>
      </c>
      <c r="B2" t="s">
        <v>3</v>
      </c>
      <c r="D2" t="s">
        <v>12</v>
      </c>
      <c r="F2" t="s">
        <v>19</v>
      </c>
      <c r="H2" t="s">
        <v>23</v>
      </c>
      <c r="J2" s="3" t="s">
        <v>28</v>
      </c>
    </row>
    <row r="3" spans="1:10" ht="26" customHeight="1" x14ac:dyDescent="0.25">
      <c r="A3" t="s">
        <v>4</v>
      </c>
      <c r="B3" t="s">
        <v>3</v>
      </c>
      <c r="D3" t="s">
        <v>13</v>
      </c>
      <c r="F3" t="s">
        <v>20</v>
      </c>
      <c r="H3" t="s">
        <v>24</v>
      </c>
      <c r="J3" s="3" t="s">
        <v>29</v>
      </c>
    </row>
    <row r="4" spans="1:10" x14ac:dyDescent="0.25">
      <c r="A4" t="s">
        <v>5</v>
      </c>
      <c r="B4" t="s">
        <v>3</v>
      </c>
      <c r="D4" t="s">
        <v>14</v>
      </c>
      <c r="F4" t="s">
        <v>21</v>
      </c>
      <c r="H4" t="s">
        <v>25</v>
      </c>
    </row>
    <row r="5" spans="1:10" x14ac:dyDescent="0.25">
      <c r="A5" t="s">
        <v>6</v>
      </c>
      <c r="B5" t="s">
        <v>3</v>
      </c>
      <c r="D5" t="s">
        <v>15</v>
      </c>
      <c r="H5" t="s">
        <v>26</v>
      </c>
    </row>
    <row r="6" spans="1:10" x14ac:dyDescent="0.25">
      <c r="A6" t="s">
        <v>7</v>
      </c>
      <c r="B6" t="s">
        <v>8</v>
      </c>
      <c r="D6" t="s">
        <v>16</v>
      </c>
    </row>
    <row r="7" spans="1:10" x14ac:dyDescent="0.25">
      <c r="A7" t="s">
        <v>9</v>
      </c>
      <c r="B7" t="s">
        <v>8</v>
      </c>
      <c r="D7" t="s">
        <v>17</v>
      </c>
    </row>
    <row r="8" spans="1:10" x14ac:dyDescent="0.25">
      <c r="A8" t="s">
        <v>10</v>
      </c>
      <c r="B8" t="s">
        <v>8</v>
      </c>
    </row>
  </sheetData>
  <printOptions horizontalCentered="1"/>
  <pageMargins left="0.5" right="0.5" top="0.5" bottom="0.5" header="0.3" footer="0.3"/>
  <pageSetup scale="68" fitToHeight="0" orientation="landscape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topLeftCell="A4" workbookViewId="0">
      <pane ySplit="2" topLeftCell="A6" activePane="bottomLeft" state="frozen"/>
      <selection activeCell="A4" sqref="A4"/>
      <selection pane="bottomLeft" activeCell="A6" sqref="A6"/>
    </sheetView>
  </sheetViews>
  <sheetFormatPr defaultRowHeight="12.5" x14ac:dyDescent="0.25"/>
  <cols>
    <col min="1" max="1" width="4.6328125" customWidth="1"/>
    <col min="2" max="2" width="13.6328125" customWidth="1"/>
    <col min="3" max="3" width="36.6328125" customWidth="1"/>
    <col min="4" max="4" width="80.6328125" customWidth="1"/>
    <col min="5" max="5" width="70.6328125" customWidth="1"/>
  </cols>
  <sheetData>
    <row r="1" spans="1:5" ht="18" x14ac:dyDescent="0.4">
      <c r="A1" s="4" t="s">
        <v>172</v>
      </c>
    </row>
    <row r="2" spans="1:5" ht="30" customHeight="1" x14ac:dyDescent="0.25">
      <c r="A2" s="38" t="s">
        <v>173</v>
      </c>
      <c r="B2" s="38"/>
      <c r="C2" s="38"/>
      <c r="D2" s="38"/>
      <c r="E2" s="38"/>
    </row>
    <row r="3" spans="1:5" ht="30" customHeight="1" x14ac:dyDescent="0.25">
      <c r="A3" s="38" t="s">
        <v>174</v>
      </c>
      <c r="B3" s="38"/>
      <c r="C3" s="38"/>
      <c r="D3" s="38"/>
      <c r="E3" s="38"/>
    </row>
    <row r="5" spans="1:5" ht="13" x14ac:dyDescent="0.25">
      <c r="A5" s="37" t="s">
        <v>175</v>
      </c>
      <c r="B5" s="37" t="s">
        <v>176</v>
      </c>
      <c r="C5" s="37" t="s">
        <v>177</v>
      </c>
      <c r="D5" s="37" t="s">
        <v>178</v>
      </c>
      <c r="E5" s="37" t="s">
        <v>179</v>
      </c>
    </row>
    <row r="6" spans="1:5" ht="25" x14ac:dyDescent="0.25">
      <c r="A6" s="34">
        <v>1</v>
      </c>
      <c r="B6" s="34" t="s">
        <v>162</v>
      </c>
      <c r="C6" s="34" t="s">
        <v>180</v>
      </c>
      <c r="D6" s="35" t="s">
        <v>181</v>
      </c>
      <c r="E6" s="36" t="s">
        <v>182</v>
      </c>
    </row>
    <row r="7" spans="1:5" ht="37.5" x14ac:dyDescent="0.25">
      <c r="A7" s="34">
        <v>2</v>
      </c>
      <c r="B7" s="34" t="s">
        <v>162</v>
      </c>
      <c r="C7" s="34" t="s">
        <v>183</v>
      </c>
      <c r="D7" s="35" t="s">
        <v>184</v>
      </c>
      <c r="E7" s="36" t="s">
        <v>185</v>
      </c>
    </row>
    <row r="8" spans="1:5" x14ac:dyDescent="0.25">
      <c r="A8" s="34">
        <v>3</v>
      </c>
      <c r="B8" s="34" t="s">
        <v>162</v>
      </c>
      <c r="C8" s="34" t="s">
        <v>186</v>
      </c>
      <c r="D8" s="35" t="s">
        <v>187</v>
      </c>
      <c r="E8" s="36" t="s">
        <v>188</v>
      </c>
    </row>
    <row r="9" spans="1:5" ht="50" x14ac:dyDescent="0.25">
      <c r="A9" s="34">
        <v>4</v>
      </c>
      <c r="B9" s="34" t="s">
        <v>162</v>
      </c>
      <c r="C9" s="34" t="s">
        <v>189</v>
      </c>
      <c r="D9" s="35" t="s">
        <v>190</v>
      </c>
      <c r="E9" s="36" t="s">
        <v>191</v>
      </c>
    </row>
    <row r="10" spans="1:5" ht="25" x14ac:dyDescent="0.25">
      <c r="A10" s="34">
        <v>5</v>
      </c>
      <c r="B10" s="34" t="s">
        <v>162</v>
      </c>
      <c r="C10" s="34" t="s">
        <v>192</v>
      </c>
      <c r="D10" s="35" t="s">
        <v>193</v>
      </c>
      <c r="E10" s="36" t="s">
        <v>194</v>
      </c>
    </row>
    <row r="11" spans="1:5" ht="50" x14ac:dyDescent="0.25">
      <c r="A11" s="34">
        <v>6</v>
      </c>
      <c r="B11" s="34" t="s">
        <v>162</v>
      </c>
      <c r="C11" s="34" t="s">
        <v>195</v>
      </c>
      <c r="D11" s="35" t="s">
        <v>196</v>
      </c>
      <c r="E11" s="36" t="s">
        <v>197</v>
      </c>
    </row>
    <row r="12" spans="1:5" ht="25" x14ac:dyDescent="0.25">
      <c r="A12" s="34">
        <v>7</v>
      </c>
      <c r="B12" s="34" t="s">
        <v>162</v>
      </c>
      <c r="C12" s="34" t="s">
        <v>198</v>
      </c>
      <c r="D12" s="35" t="s">
        <v>199</v>
      </c>
      <c r="E12" s="36" t="s">
        <v>200</v>
      </c>
    </row>
    <row r="13" spans="1:5" ht="25" x14ac:dyDescent="0.25">
      <c r="A13" s="34">
        <v>8</v>
      </c>
      <c r="B13" s="34" t="s">
        <v>162</v>
      </c>
      <c r="C13" s="34" t="s">
        <v>201</v>
      </c>
      <c r="D13" s="35" t="s">
        <v>202</v>
      </c>
      <c r="E13" s="36" t="s">
        <v>203</v>
      </c>
    </row>
    <row r="14" spans="1:5" ht="25" x14ac:dyDescent="0.25">
      <c r="A14" s="34">
        <v>9</v>
      </c>
      <c r="B14" s="34" t="s">
        <v>162</v>
      </c>
      <c r="C14" s="34" t="s">
        <v>204</v>
      </c>
      <c r="D14" s="35" t="s">
        <v>205</v>
      </c>
      <c r="E14" s="36" t="s">
        <v>206</v>
      </c>
    </row>
    <row r="15" spans="1:5" x14ac:dyDescent="0.25">
      <c r="A15" s="34">
        <v>10</v>
      </c>
      <c r="B15" s="34" t="s">
        <v>162</v>
      </c>
      <c r="C15" s="34" t="s">
        <v>207</v>
      </c>
      <c r="D15" s="35" t="s">
        <v>208</v>
      </c>
      <c r="E15" s="36" t="s">
        <v>209</v>
      </c>
    </row>
    <row r="16" spans="1:5" x14ac:dyDescent="0.25">
      <c r="A16" s="34">
        <v>11</v>
      </c>
      <c r="B16" s="34" t="s">
        <v>162</v>
      </c>
      <c r="C16" s="34" t="s">
        <v>210</v>
      </c>
      <c r="D16" s="35" t="s">
        <v>211</v>
      </c>
      <c r="E16" s="36" t="s">
        <v>212</v>
      </c>
    </row>
    <row r="17" spans="1:5" ht="25" x14ac:dyDescent="0.25">
      <c r="A17" s="34">
        <v>12</v>
      </c>
      <c r="B17" s="34" t="s">
        <v>162</v>
      </c>
      <c r="C17" s="34" t="s">
        <v>213</v>
      </c>
      <c r="D17" s="35" t="s">
        <v>214</v>
      </c>
      <c r="E17" s="36" t="s">
        <v>215</v>
      </c>
    </row>
    <row r="18" spans="1:5" ht="37.5" x14ac:dyDescent="0.25">
      <c r="A18" s="34">
        <v>13</v>
      </c>
      <c r="B18" s="34" t="s">
        <v>162</v>
      </c>
      <c r="C18" s="34" t="s">
        <v>216</v>
      </c>
      <c r="D18" s="35" t="s">
        <v>217</v>
      </c>
      <c r="E18" s="36" t="s">
        <v>218</v>
      </c>
    </row>
    <row r="19" spans="1:5" ht="25" x14ac:dyDescent="0.25">
      <c r="A19" s="34">
        <v>14</v>
      </c>
      <c r="B19" s="34" t="s">
        <v>162</v>
      </c>
      <c r="C19" s="34" t="s">
        <v>219</v>
      </c>
      <c r="D19" s="35" t="s">
        <v>220</v>
      </c>
      <c r="E19" s="36" t="s">
        <v>221</v>
      </c>
    </row>
    <row r="20" spans="1:5" x14ac:dyDescent="0.25">
      <c r="A20" s="34">
        <v>15</v>
      </c>
      <c r="B20" s="34" t="s">
        <v>222</v>
      </c>
      <c r="C20" s="34" t="s">
        <v>223</v>
      </c>
      <c r="D20" s="35" t="s">
        <v>224</v>
      </c>
      <c r="E20" s="36" t="s">
        <v>225</v>
      </c>
    </row>
    <row r="21" spans="1:5" x14ac:dyDescent="0.25">
      <c r="A21" s="34">
        <v>16</v>
      </c>
      <c r="B21" s="34" t="s">
        <v>222</v>
      </c>
      <c r="C21" s="34" t="s">
        <v>226</v>
      </c>
      <c r="D21" s="35" t="s">
        <v>227</v>
      </c>
      <c r="E21" s="36" t="s">
        <v>228</v>
      </c>
    </row>
    <row r="22" spans="1:5" x14ac:dyDescent="0.25">
      <c r="A22" s="34">
        <v>17</v>
      </c>
      <c r="B22" s="34" t="s">
        <v>222</v>
      </c>
      <c r="C22" s="34" t="s">
        <v>229</v>
      </c>
      <c r="D22" s="35" t="s">
        <v>230</v>
      </c>
      <c r="E22" s="36" t="s">
        <v>231</v>
      </c>
    </row>
    <row r="23" spans="1:5" ht="37.5" x14ac:dyDescent="0.25">
      <c r="A23" s="34">
        <v>18</v>
      </c>
      <c r="B23" s="34" t="s">
        <v>222</v>
      </c>
      <c r="C23" s="34" t="s">
        <v>232</v>
      </c>
      <c r="D23" s="35" t="s">
        <v>233</v>
      </c>
      <c r="E23" s="36" t="s">
        <v>234</v>
      </c>
    </row>
    <row r="24" spans="1:5" ht="37.5" x14ac:dyDescent="0.25">
      <c r="A24" s="34">
        <v>19</v>
      </c>
      <c r="B24" s="34" t="s">
        <v>222</v>
      </c>
      <c r="C24" s="34" t="s">
        <v>235</v>
      </c>
      <c r="D24" s="35" t="s">
        <v>236</v>
      </c>
      <c r="E24" s="36" t="s">
        <v>237</v>
      </c>
    </row>
    <row r="25" spans="1:5" ht="25" x14ac:dyDescent="0.25">
      <c r="A25" s="34">
        <v>20</v>
      </c>
      <c r="B25" s="34" t="s">
        <v>222</v>
      </c>
      <c r="C25" s="34" t="s">
        <v>238</v>
      </c>
      <c r="D25" s="35" t="s">
        <v>239</v>
      </c>
      <c r="E25" s="36" t="s">
        <v>240</v>
      </c>
    </row>
    <row r="26" spans="1:5" x14ac:dyDescent="0.25">
      <c r="A26" s="34">
        <v>21</v>
      </c>
      <c r="B26" s="34" t="s">
        <v>222</v>
      </c>
      <c r="C26" s="34" t="s">
        <v>241</v>
      </c>
      <c r="D26" s="35" t="s">
        <v>242</v>
      </c>
      <c r="E26" s="36" t="s">
        <v>243</v>
      </c>
    </row>
    <row r="27" spans="1:5" ht="25" x14ac:dyDescent="0.25">
      <c r="A27" s="34">
        <v>22</v>
      </c>
      <c r="B27" s="34" t="s">
        <v>222</v>
      </c>
      <c r="C27" s="34" t="s">
        <v>244</v>
      </c>
      <c r="D27" s="35" t="s">
        <v>245</v>
      </c>
      <c r="E27" s="36" t="s">
        <v>246</v>
      </c>
    </row>
    <row r="28" spans="1:5" ht="25" x14ac:dyDescent="0.25">
      <c r="A28" s="34">
        <v>23</v>
      </c>
      <c r="B28" s="34" t="s">
        <v>222</v>
      </c>
      <c r="C28" s="34" t="s">
        <v>247</v>
      </c>
      <c r="D28" s="35" t="s">
        <v>248</v>
      </c>
      <c r="E28" s="36" t="s">
        <v>249</v>
      </c>
    </row>
    <row r="29" spans="1:5" x14ac:dyDescent="0.25">
      <c r="A29" s="34">
        <v>24</v>
      </c>
      <c r="B29" s="34" t="s">
        <v>222</v>
      </c>
      <c r="C29" s="34" t="s">
        <v>250</v>
      </c>
      <c r="D29" s="35" t="s">
        <v>251</v>
      </c>
      <c r="E29" s="36" t="s">
        <v>252</v>
      </c>
    </row>
    <row r="30" spans="1:5" ht="37.5" x14ac:dyDescent="0.25">
      <c r="A30" s="34">
        <v>25</v>
      </c>
      <c r="B30" s="34" t="s">
        <v>222</v>
      </c>
      <c r="C30" s="34" t="s">
        <v>253</v>
      </c>
      <c r="D30" s="35" t="s">
        <v>254</v>
      </c>
      <c r="E30" s="36" t="s">
        <v>255</v>
      </c>
    </row>
    <row r="31" spans="1:5" ht="25" x14ac:dyDescent="0.25">
      <c r="A31" s="34">
        <v>26</v>
      </c>
      <c r="B31" s="34" t="s">
        <v>222</v>
      </c>
      <c r="C31" s="34" t="s">
        <v>256</v>
      </c>
      <c r="D31" s="35" t="s">
        <v>257</v>
      </c>
      <c r="E31" s="36" t="s">
        <v>258</v>
      </c>
    </row>
    <row r="32" spans="1:5" ht="25" x14ac:dyDescent="0.25">
      <c r="A32" s="34">
        <v>27</v>
      </c>
      <c r="B32" s="34" t="s">
        <v>222</v>
      </c>
      <c r="C32" s="34" t="s">
        <v>259</v>
      </c>
      <c r="D32" s="35" t="s">
        <v>260</v>
      </c>
      <c r="E32" s="36" t="s">
        <v>261</v>
      </c>
    </row>
    <row r="33" spans="1:5" ht="25" x14ac:dyDescent="0.25">
      <c r="A33" s="34">
        <v>28</v>
      </c>
      <c r="B33" s="34" t="s">
        <v>222</v>
      </c>
      <c r="C33" s="34" t="s">
        <v>262</v>
      </c>
      <c r="D33" s="35" t="s">
        <v>263</v>
      </c>
      <c r="E33" s="36" t="s">
        <v>264</v>
      </c>
    </row>
    <row r="34" spans="1:5" ht="25" x14ac:dyDescent="0.25">
      <c r="A34" s="34">
        <v>29</v>
      </c>
      <c r="B34" s="34" t="s">
        <v>222</v>
      </c>
      <c r="C34" s="34" t="s">
        <v>265</v>
      </c>
      <c r="D34" s="35" t="s">
        <v>266</v>
      </c>
      <c r="E34" s="36" t="s">
        <v>267</v>
      </c>
    </row>
  </sheetData>
  <mergeCells count="2">
    <mergeCell ref="A2:E2"/>
    <mergeCell ref="A3:E3"/>
  </mergeCells>
  <printOptions horizontalCentered="1"/>
  <pageMargins left="0.5" right="0.5" top="0.5" bottom="0.5" header="0.3" footer="0.3"/>
  <pageSetup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Dashboard</vt:lpstr>
      <vt:lpstr>Applications</vt:lpstr>
      <vt:lpstr>Companies</vt:lpstr>
      <vt:lpstr>Lists</vt:lpstr>
      <vt:lpstr>Formula Guide</vt:lpstr>
      <vt:lpstr>CompanyList</vt:lpstr>
      <vt:lpstr>PlatformList</vt:lpstr>
      <vt:lpstr>Applications!Print_Area</vt:lpstr>
      <vt:lpstr>Companies!Print_Area</vt:lpstr>
      <vt:lpstr>Dashboard!Print_Area</vt:lpstr>
      <vt:lpstr>'Formula Guide'!Print_Area</vt:lpstr>
      <vt:lpstr>Lists!Print_Area</vt:lpstr>
      <vt:lpstr>Applications!Print_Titles</vt:lpstr>
      <vt:lpstr>'Formula Guide'!Print_Titles</vt:lpstr>
      <vt:lpstr>PriorityList</vt:lpstr>
      <vt:lpstr>ResumeList</vt:lpstr>
      <vt:lpstr>StatusList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Application Tracker</dc:title>
  <dc:subject>Job application tracking with Excel formulas, dashboard, validation and conditional formatting</dc:subject>
  <dc:creator>Saad Bashir</dc:creator>
  <cp:lastModifiedBy>DELL</cp:lastModifiedBy>
  <dcterms:created xsi:type="dcterms:W3CDTF">2026-10-08T05:03:27Z</dcterms:created>
  <dcterms:modified xsi:type="dcterms:W3CDTF">2026-10-08T05:05:25Z</dcterms:modified>
</cp:coreProperties>
</file>